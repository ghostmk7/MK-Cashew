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4"/>
    <sheet state="visible" name="Feburary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ust" sheetId="8" r:id="rId11"/>
    <sheet state="visible" name="September" sheetId="9" r:id="rId12"/>
    <sheet state="visible" name="October" sheetId="10" r:id="rId13"/>
    <sheet state="visible" name="November" sheetId="11" r:id="rId14"/>
    <sheet state="visible" name="December" sheetId="12" r:id="rId15"/>
  </sheets>
  <definedNames/>
  <calcPr/>
  <extLst>
    <ext uri="GoogleSheetsCustomDataVersion2">
      <go:sheetsCustomData xmlns:go="http://customooxmlschemas.google.com/" r:id="rId16" roundtripDataChecksum="g/ronAYHFyFHMzqfrNFHt8bTE3JzB5ZHvfACDPR5Q3Y="/>
    </ext>
  </extLst>
</workbook>
</file>

<file path=xl/sharedStrings.xml><?xml version="1.0" encoding="utf-8"?>
<sst xmlns="http://schemas.openxmlformats.org/spreadsheetml/2006/main" count="850" uniqueCount="196">
  <si>
    <t>Cash Book</t>
  </si>
  <si>
    <t>Date</t>
  </si>
  <si>
    <t>Description</t>
  </si>
  <si>
    <t>Cash In</t>
  </si>
  <si>
    <t>Cash Out</t>
  </si>
  <si>
    <t>balance bd</t>
  </si>
  <si>
    <t>ni ni win</t>
  </si>
  <si>
    <t>zarwin</t>
  </si>
  <si>
    <t>lapyae</t>
  </si>
  <si>
    <t>photayote</t>
  </si>
  <si>
    <t>mk3 4pate tar</t>
  </si>
  <si>
    <t>nu,khin,khin</t>
  </si>
  <si>
    <t xml:space="preserve">mk3 </t>
  </si>
  <si>
    <t>mk2 10tar</t>
  </si>
  <si>
    <t>nini win</t>
  </si>
  <si>
    <t>Ma Nan လွှဲ 30pk*48500</t>
  </si>
  <si>
    <t>car fees</t>
  </si>
  <si>
    <t>မုန့်ဆိုင်ထုတ်</t>
  </si>
  <si>
    <t>mk3</t>
  </si>
  <si>
    <t>Khin+Khin+Nu</t>
  </si>
  <si>
    <t>mk 3</t>
  </si>
  <si>
    <t>မုန့်ဆိုင်သွင်း</t>
  </si>
  <si>
    <t>ဇင်ဇင်ခြမ်း 25 လွှဲ</t>
  </si>
  <si>
    <t xml:space="preserve">mk 3+2 </t>
  </si>
  <si>
    <t>ခြမ်း 25 car fees</t>
  </si>
  <si>
    <t>bike repair</t>
  </si>
  <si>
    <t>mk blue</t>
  </si>
  <si>
    <t>Mi Won အိတ်ခွံကြိုလွှဲ</t>
  </si>
  <si>
    <t>mk</t>
  </si>
  <si>
    <t>si pin a kun</t>
  </si>
  <si>
    <t xml:space="preserve">pite pyin </t>
  </si>
  <si>
    <t>mk2 50tar</t>
  </si>
  <si>
    <t>mk 2</t>
  </si>
  <si>
    <t xml:space="preserve">a kun </t>
  </si>
  <si>
    <t>Zin Zin ခြမ်းဖိုးလွှဲ 25pk</t>
  </si>
  <si>
    <t>mk g</t>
  </si>
  <si>
    <t>military fees</t>
  </si>
  <si>
    <t>mk2</t>
  </si>
  <si>
    <t>Khin+Khin</t>
  </si>
  <si>
    <t>လပြည့်ဆပ်</t>
  </si>
  <si>
    <t>peeling fee</t>
  </si>
  <si>
    <t>niniwin</t>
  </si>
  <si>
    <t xml:space="preserve">mk </t>
  </si>
  <si>
    <t>ဝါခြမ်းခွဲ</t>
  </si>
  <si>
    <t>pate tar bag</t>
  </si>
  <si>
    <t>ကုန်ကြမ်း၃၅၀အိတ်တင်လ/သ</t>
  </si>
  <si>
    <t>copy</t>
  </si>
  <si>
    <t>sale</t>
  </si>
  <si>
    <t>ဇင်ဇင်ခြမ်း 25pkဖိုးလွှဲ</t>
  </si>
  <si>
    <t>deli</t>
  </si>
  <si>
    <t>mk 25pone car ka</t>
  </si>
  <si>
    <t>mk3 10tar</t>
  </si>
  <si>
    <t>win win kyi</t>
  </si>
  <si>
    <t>ထ/ဝ ကုန်ကြမ်း၄အိတ်ဖိုး</t>
  </si>
  <si>
    <t>khin+nu</t>
  </si>
  <si>
    <t>a khun bag</t>
  </si>
  <si>
    <t>Grading စက်ကားခ/လသ</t>
  </si>
  <si>
    <t>ခြမ်း25 pk ကားခ</t>
  </si>
  <si>
    <t>khin+nu+khin</t>
  </si>
  <si>
    <t>MK အိတ်ခွံ ကားခ</t>
  </si>
  <si>
    <t>မနန်းကုန်ကြမ်းဖိုးလွှဲ</t>
  </si>
  <si>
    <t>Daw San Aye ဆပ်</t>
  </si>
  <si>
    <t>အတိုး</t>
  </si>
  <si>
    <t>rubber band</t>
  </si>
  <si>
    <t>Mi Won လွှဲ</t>
  </si>
  <si>
    <t>ဇင်ဇင်ခြမ်း၃ 5pkဖိုးလွှဲ</t>
  </si>
  <si>
    <t>Ma Nan လုံး 27pk+ဝါ 16pk carfee</t>
  </si>
  <si>
    <t>******</t>
  </si>
  <si>
    <t>မုန်ဆိုင်သွင်း</t>
  </si>
  <si>
    <t>lapyae repay</t>
  </si>
  <si>
    <t>ခြမ်း ၁၀ပိသာ</t>
  </si>
  <si>
    <t>khin+nu+khin+nge ma+lapyae</t>
  </si>
  <si>
    <t>ကုန်ကြမ်း1326</t>
  </si>
  <si>
    <t>Peeling</t>
  </si>
  <si>
    <t>akyay 3 sale</t>
  </si>
  <si>
    <t>bag sell</t>
  </si>
  <si>
    <t>Photayout</t>
  </si>
  <si>
    <t>lapya</t>
  </si>
  <si>
    <t>soenandar</t>
  </si>
  <si>
    <t>photayout</t>
  </si>
  <si>
    <t>trash bag</t>
  </si>
  <si>
    <t>myatnoe</t>
  </si>
  <si>
    <t>စက်ရောင်း</t>
  </si>
  <si>
    <t>သွင်း</t>
  </si>
  <si>
    <t>rice car ka</t>
  </si>
  <si>
    <t>မနန်းလွှဲ</t>
  </si>
  <si>
    <t>Zin Zin ခြမ်း 30pk လွှဲ</t>
  </si>
  <si>
    <t>14/3 ရောက်</t>
  </si>
  <si>
    <t>ခြမ်း30pk car fees</t>
  </si>
  <si>
    <t>ခေါက်တို</t>
  </si>
  <si>
    <t xml:space="preserve">Nyi Nyi </t>
  </si>
  <si>
    <t>စံကျိ ခြမ်းဖိုး</t>
  </si>
  <si>
    <t>bag</t>
  </si>
  <si>
    <t>ခြမ်း20pk +ခြမ်း၂ 10pk+ခြမ်၃4pk</t>
  </si>
  <si>
    <t>ရောက်</t>
  </si>
  <si>
    <t>34pk car fees</t>
  </si>
  <si>
    <t>မုန့်ဆိုင်သွင်း20-3-26+24-3-36</t>
  </si>
  <si>
    <t>မုန့်ဆိုင်</t>
  </si>
  <si>
    <t xml:space="preserve">motorbike fuel oil </t>
  </si>
  <si>
    <t>soenandar+lapyae</t>
  </si>
  <si>
    <t>peeling</t>
  </si>
  <si>
    <t>မလမကုန်ကြမ်း 2109.14 viss</t>
  </si>
  <si>
    <t xml:space="preserve">soenandar </t>
  </si>
  <si>
    <t>မုန့်ဆိုင်သွင်း</t>
  </si>
  <si>
    <t>water pump machine repair</t>
  </si>
  <si>
    <t>khin may san repay</t>
  </si>
  <si>
    <t>Daw San San Aye ဆပ်</t>
  </si>
  <si>
    <t>tunlinkyaw atoe</t>
  </si>
  <si>
    <t>mote pho</t>
  </si>
  <si>
    <t>photayote debt</t>
  </si>
  <si>
    <t>zarwin+4</t>
  </si>
  <si>
    <t>zarwin+2</t>
  </si>
  <si>
    <t>car ka</t>
  </si>
  <si>
    <t>alu</t>
  </si>
  <si>
    <t>pk25 car ka</t>
  </si>
  <si>
    <t>khin +2</t>
  </si>
  <si>
    <t>lapyae+1+khin</t>
  </si>
  <si>
    <t>khin+3</t>
  </si>
  <si>
    <t>linlin+phyohtetkyaw</t>
  </si>
  <si>
    <t>ထ/ဝ ခြမ်း25pk</t>
  </si>
  <si>
    <t>ထ/ဝ 3030viss 9600 လွှဲ</t>
  </si>
  <si>
    <t>lapyae+1</t>
  </si>
  <si>
    <t xml:space="preserve"> မလမကုန်ကြမ်း1597.16viss</t>
  </si>
  <si>
    <t>287.5viss ကုန်ကြမ်း</t>
  </si>
  <si>
    <t>ထ/ဝ 300အိတ်ကားခ</t>
  </si>
  <si>
    <t>ma nan 30pk ဖိုးလွှဲ</t>
  </si>
  <si>
    <t>Mar Mar Myint မှချေး</t>
  </si>
  <si>
    <t>ကိုသိန်းထွေး 8000viss လွှဲ</t>
  </si>
  <si>
    <t>achan 2 sale</t>
  </si>
  <si>
    <t>new crop</t>
  </si>
  <si>
    <t>sipinkun</t>
  </si>
  <si>
    <t>အပြာတွဲအိတ်ကားခ</t>
  </si>
  <si>
    <t>U Thein Myint</t>
  </si>
  <si>
    <t>khin+2</t>
  </si>
  <si>
    <t>patrol oil</t>
  </si>
  <si>
    <t>ptt max speed</t>
  </si>
  <si>
    <t>cycle pyin ka</t>
  </si>
  <si>
    <t>အပြာတွဲအိတ် 65550*117.2</t>
  </si>
  <si>
    <t>.0276$/1pcs</t>
  </si>
  <si>
    <t>lapyae+2</t>
  </si>
  <si>
    <t>ထ/ဝ 31*30*9600</t>
  </si>
  <si>
    <t>ထ/ဝ ကားခ</t>
  </si>
  <si>
    <t>လ/သ</t>
  </si>
  <si>
    <t>a mite bag</t>
  </si>
  <si>
    <t>Daw San San Aye မှချေး</t>
  </si>
  <si>
    <t>Ko Thein Htwe 4680viss*9820</t>
  </si>
  <si>
    <t>မုန်ဆိုင်ထုတ်</t>
  </si>
  <si>
    <t>water purifier repair</t>
  </si>
  <si>
    <t>yiyiwin</t>
  </si>
  <si>
    <t>tuk pyar sell</t>
  </si>
  <si>
    <t>achan30pk car ka</t>
  </si>
  <si>
    <t>wood cutter repair</t>
  </si>
  <si>
    <t>photayote borrow money again</t>
  </si>
  <si>
    <t>Daw San San မှချေး</t>
  </si>
  <si>
    <t>zin zin 30*12.3*46500</t>
  </si>
  <si>
    <t>WN/MM (u thein myint)</t>
  </si>
  <si>
    <t>WN/MM (ရှေ့နေ)</t>
  </si>
  <si>
    <t>လုံး</t>
  </si>
  <si>
    <t>Daw San San Aye</t>
  </si>
  <si>
    <t>ခြမ်း ၁</t>
  </si>
  <si>
    <t>Mar Mar Myint</t>
  </si>
  <si>
    <t>ခြမ်း ၂</t>
  </si>
  <si>
    <t>ဆပ်ရန်ကျန်ငွေ</t>
  </si>
  <si>
    <t>ပြာတွဲ</t>
  </si>
  <si>
    <t>စိမ်းတွဲ</t>
  </si>
  <si>
    <t>ဝါခြမ်း</t>
  </si>
  <si>
    <t>ခြမ်း ၃</t>
  </si>
  <si>
    <t>မလမကုန်ကြမ်း214.6viss</t>
  </si>
  <si>
    <t>ပါကင်ခွံ</t>
  </si>
  <si>
    <t>အိတ်ခွံလက်ကျန်</t>
  </si>
  <si>
    <t xml:space="preserve">win nwe+mi mar </t>
  </si>
  <si>
    <t>MM/WN</t>
  </si>
  <si>
    <t>မုန့်ဆိုင်မှရရန်</t>
  </si>
  <si>
    <t>ကုန်ကြမ်းအသစ်</t>
  </si>
  <si>
    <t>လက်ကျန်ငွေ</t>
  </si>
  <si>
    <t>စာရင်းချုပ်လက်ကျန်</t>
  </si>
  <si>
    <t>2025-2026 အရင်း</t>
  </si>
  <si>
    <t>အမြတ်ငွေ</t>
  </si>
  <si>
    <t xml:space="preserve">ထ/ဝ 1297.5viss*9100 </t>
  </si>
  <si>
    <t>military fee</t>
  </si>
  <si>
    <t>a mite bag sell</t>
  </si>
  <si>
    <t>Ma Nan alone24,awar 6 car ka</t>
  </si>
  <si>
    <t>khin+zarwin</t>
  </si>
  <si>
    <t>cycle repair</t>
  </si>
  <si>
    <t>a mite bag sell 30</t>
  </si>
  <si>
    <t>မီးသွေး 94*19000</t>
  </si>
  <si>
    <t>nunuwin</t>
  </si>
  <si>
    <t>17/06/2026</t>
  </si>
  <si>
    <t>laypae+2</t>
  </si>
  <si>
    <t>boiler စရံ</t>
  </si>
  <si>
    <t>သထုံခြမ်း</t>
  </si>
  <si>
    <t>18/6 KML  215.5*9600</t>
  </si>
  <si>
    <t>KML မှရရန်ကုန်ကြမ်း</t>
  </si>
  <si>
    <t>1297.5+215.5 viss</t>
  </si>
  <si>
    <t>မ၃ယောက်</t>
  </si>
  <si>
    <t>trash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</si>
</sst>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/d/yyyy"/>
  </numFmts>
  <fonts count="9">
    <font>
      <sz val="11.0"/>
      <color theme="1"/>
      <name val="Calibri"/>
      <scheme val="minor"/>
    </font>
    <font>
      <b/>
      <sz val="18.0"/>
      <color rgb="FF757070"/>
      <name val="Calibri"/>
    </font>
    <font/>
    <font>
      <sz val="11.0"/>
      <color theme="1"/>
      <name val="Calibri"/>
    </font>
    <font>
      <b/>
      <u/>
      <sz val="14.0"/>
      <color rgb="FF757070"/>
      <name val="Calibri"/>
    </font>
    <font>
      <b/>
      <u/>
      <sz val="14.0"/>
      <color rgb="FF757070"/>
      <name val="Calibri"/>
    </font>
    <font>
      <b/>
      <u/>
      <sz val="14.0"/>
      <color rgb="FF757070"/>
      <name val="Calibri"/>
    </font>
    <font>
      <b/>
      <u/>
      <sz val="14.0"/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164" xfId="0" applyAlignment="1" applyBorder="1" applyFill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6" numFmtId="3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5" fillId="0" fontId="3" numFmtId="164" xfId="0" applyBorder="1" applyFont="1" applyNumberFormat="1"/>
    <xf borderId="5" fillId="0" fontId="3" numFmtId="0" xfId="0" applyBorder="1" applyFont="1"/>
    <xf borderId="5" fillId="0" fontId="3" numFmtId="3" xfId="0" applyBorder="1" applyFont="1" applyNumberFormat="1"/>
    <xf borderId="0" fillId="0" fontId="3" numFmtId="14" xfId="0" applyFont="1" applyNumberFormat="1"/>
    <xf borderId="0" fillId="0" fontId="3" numFmtId="3" xfId="0" applyFont="1" applyNumberFormat="1"/>
    <xf borderId="0" fillId="0" fontId="3" numFmtId="17" xfId="0" applyFont="1" applyNumberFormat="1"/>
    <xf borderId="5" fillId="0" fontId="3" numFmtId="0" xfId="0" applyAlignment="1" applyBorder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5" fillId="0" fontId="3" numFmtId="164" xfId="0" applyAlignment="1" applyBorder="1" applyFont="1" applyNumberFormat="1">
      <alignment readingOrder="0"/>
    </xf>
    <xf borderId="5" fillId="0" fontId="3" numFmtId="3" xfId="0" applyAlignment="1" applyBorder="1" applyFont="1" applyNumberFormat="1">
      <alignment readingOrder="0"/>
    </xf>
    <xf borderId="0" fillId="0" fontId="8" numFmtId="0" xfId="0" applyFont="1"/>
    <xf borderId="0" fillId="4" fontId="3" numFmtId="0" xfId="0" applyFill="1" applyFont="1"/>
    <xf borderId="0" fillId="0" fontId="3" numFmtId="165" xfId="0" applyAlignment="1" applyFont="1" applyNumberFormat="1">
      <alignment readingOrder="0"/>
    </xf>
    <xf borderId="5" fillId="4" fontId="3" numFmtId="0" xfId="0" applyAlignment="1" applyBorder="1" applyFont="1">
      <alignment readingOrder="0"/>
    </xf>
    <xf borderId="5" fillId="4" fontId="3" numFmtId="3" xfId="0" applyAlignment="1" applyBorder="1" applyFont="1" applyNumberFormat="1">
      <alignment readingOrder="0"/>
    </xf>
    <xf borderId="5" fillId="0" fontId="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>
        <v>46023.0</v>
      </c>
      <c r="B3" s="10" t="s">
        <v>5</v>
      </c>
      <c r="C3" s="11">
        <v>900000.0</v>
      </c>
      <c r="D3" s="11"/>
      <c r="E3" s="12">
        <v>46023.0</v>
      </c>
      <c r="F3" s="4">
        <f>8.9+18.02+14.86-3</f>
        <v>38.78</v>
      </c>
      <c r="G3" s="4">
        <v>3.0</v>
      </c>
      <c r="H3" s="4"/>
      <c r="I3" s="4" t="s">
        <v>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 t="s">
        <v>7</v>
      </c>
      <c r="C4" s="11"/>
      <c r="D4" s="11">
        <v>15000.0</v>
      </c>
      <c r="E4" s="12">
        <v>46024.0</v>
      </c>
      <c r="F4" s="4">
        <f>18.02+16.14+9.02-3</f>
        <v>40.18</v>
      </c>
      <c r="G4" s="4">
        <v>2.9</v>
      </c>
      <c r="H4" s="12">
        <v>46023.0</v>
      </c>
      <c r="I4" s="4">
        <v>10000.0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 t="s">
        <v>8</v>
      </c>
      <c r="C5" s="11"/>
      <c r="D5" s="11">
        <v>15000.0</v>
      </c>
      <c r="E5" s="12">
        <v>46025.0</v>
      </c>
      <c r="F5" s="4">
        <f>18.36+18.66-2.4</f>
        <v>34.62</v>
      </c>
      <c r="G5" s="4">
        <v>2.6</v>
      </c>
      <c r="H5" s="12">
        <v>46024.0</v>
      </c>
      <c r="I5" s="4">
        <v>10000.0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 t="s">
        <v>9</v>
      </c>
      <c r="C6" s="11"/>
      <c r="D6" s="11">
        <v>19000.0</v>
      </c>
      <c r="E6" s="12">
        <v>46027.0</v>
      </c>
      <c r="F6" s="4">
        <f>17.9+18.16+4.4-3</f>
        <v>37.46</v>
      </c>
      <c r="G6" s="4">
        <v>2.75</v>
      </c>
      <c r="H6" s="12">
        <v>46025.0</v>
      </c>
      <c r="I6" s="4">
        <v>10000.0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>
        <v>46024.0</v>
      </c>
      <c r="B7" s="10" t="s">
        <v>7</v>
      </c>
      <c r="C7" s="11"/>
      <c r="D7" s="11">
        <v>15000.0</v>
      </c>
      <c r="E7" s="12">
        <v>46028.0</v>
      </c>
      <c r="F7" s="4">
        <f>9.42+8.82+8.66+9.28+6.24-3</f>
        <v>39.42</v>
      </c>
      <c r="G7" s="4">
        <v>2.7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 t="s">
        <v>8</v>
      </c>
      <c r="C8" s="11"/>
      <c r="D8" s="11">
        <v>15000.0</v>
      </c>
      <c r="E8" s="12">
        <v>46029.0</v>
      </c>
      <c r="F8" s="4">
        <f>8.3+9+9.28+8.9+5.5-3</f>
        <v>37.98</v>
      </c>
      <c r="G8" s="4">
        <v>2.85</v>
      </c>
      <c r="H8" s="12">
        <v>46027.0</v>
      </c>
      <c r="I8" s="4">
        <v>10000.0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 t="s">
        <v>9</v>
      </c>
      <c r="C9" s="11"/>
      <c r="D9" s="11">
        <v>19000.0</v>
      </c>
      <c r="E9" s="12">
        <v>46030.0</v>
      </c>
      <c r="F9" s="4">
        <f>18.18+8.98+9.22+6.56-3</f>
        <v>39.94</v>
      </c>
      <c r="G9" s="4">
        <f>3.8-0.6</f>
        <v>3.2</v>
      </c>
      <c r="H9" s="12">
        <v>46028.0</v>
      </c>
      <c r="I9" s="4">
        <v>10000.0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>
        <v>46025.0</v>
      </c>
      <c r="B10" s="10" t="s">
        <v>10</v>
      </c>
      <c r="C10" s="11">
        <v>80000.0</v>
      </c>
      <c r="D10" s="11"/>
      <c r="E10" s="12">
        <v>46031.0</v>
      </c>
      <c r="F10" s="4">
        <f>17.7+19.52-2.4</f>
        <v>34.82</v>
      </c>
      <c r="G10" s="4">
        <v>3.15</v>
      </c>
      <c r="H10" s="12">
        <v>46029.0</v>
      </c>
      <c r="I10" s="4">
        <v>10000.0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11</v>
      </c>
      <c r="C11" s="11"/>
      <c r="D11" s="11">
        <f>12000+13000+16000</f>
        <v>41000</v>
      </c>
      <c r="E11" s="12">
        <v>46032.0</v>
      </c>
      <c r="F11" s="4">
        <f>18.64+9.5+9-2.4</f>
        <v>34.74</v>
      </c>
      <c r="G11" s="4">
        <f>4.38-0.6</f>
        <v>3.78</v>
      </c>
      <c r="H11" s="12">
        <v>46030.0</v>
      </c>
      <c r="I11" s="4">
        <v>10000.0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 t="s">
        <v>7</v>
      </c>
      <c r="C12" s="11"/>
      <c r="D12" s="11">
        <v>15000.0</v>
      </c>
      <c r="E12" s="12">
        <v>46034.0</v>
      </c>
      <c r="F12" s="4">
        <f>9.36+9.8+9.7+9.56-2.4</f>
        <v>36.02</v>
      </c>
      <c r="G12" s="4">
        <v>4.3</v>
      </c>
      <c r="H12" s="12">
        <v>46031.0</v>
      </c>
      <c r="I12" s="4">
        <v>10000.0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 t="s">
        <v>8</v>
      </c>
      <c r="C13" s="11"/>
      <c r="D13" s="11">
        <v>15000.0</v>
      </c>
      <c r="E13" s="12">
        <v>46035.0</v>
      </c>
      <c r="F13" s="4">
        <f>8.2+8.3+8.4+8.6+8.4-3</f>
        <v>38.9</v>
      </c>
      <c r="G13" s="4">
        <f>5.2-0.6</f>
        <v>4.6</v>
      </c>
      <c r="H13" s="12">
        <v>46032.0</v>
      </c>
      <c r="I13" s="4">
        <v>10000.0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 t="s">
        <v>9</v>
      </c>
      <c r="C14" s="11"/>
      <c r="D14" s="11">
        <v>19000.0</v>
      </c>
      <c r="E14" s="12">
        <v>46036.0</v>
      </c>
      <c r="F14" s="4">
        <f>9.2+9.1+9.5-1.8</f>
        <v>26</v>
      </c>
      <c r="G14" s="4">
        <v>3.6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 t="s">
        <v>12</v>
      </c>
      <c r="C15" s="11">
        <v>42000.0</v>
      </c>
      <c r="D15" s="11"/>
      <c r="E15" s="12">
        <v>46037.0</v>
      </c>
      <c r="F15" s="4">
        <f>17.36+18.12+9-3</f>
        <v>41.48</v>
      </c>
      <c r="G15" s="4">
        <f>4.36-0.6</f>
        <v>3.76</v>
      </c>
      <c r="H15" s="12">
        <v>46034.0</v>
      </c>
      <c r="I15" s="4">
        <v>10000.0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 t="s">
        <v>13</v>
      </c>
      <c r="C16" s="11">
        <v>5000.0</v>
      </c>
      <c r="D16" s="11"/>
      <c r="E16" s="12">
        <v>46038.0</v>
      </c>
      <c r="F16" s="4">
        <f>17.6+14.68+8.96-3</f>
        <v>38.24</v>
      </c>
      <c r="G16" s="4">
        <f t="shared" ref="G16:G17" si="1">4.34-0.6</f>
        <v>3.74</v>
      </c>
      <c r="H16" s="12">
        <v>46035.0</v>
      </c>
      <c r="I16" s="4">
        <v>10000.0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14</v>
      </c>
      <c r="C17" s="11"/>
      <c r="D17" s="11">
        <v>60000.0</v>
      </c>
      <c r="E17" s="12">
        <v>46039.0</v>
      </c>
      <c r="F17" s="4">
        <f>9.36+8.9+9.14+8.7-2.4</f>
        <v>33.7</v>
      </c>
      <c r="G17" s="4">
        <f t="shared" si="1"/>
        <v>3.74</v>
      </c>
      <c r="H17" s="12">
        <v>46036.0</v>
      </c>
      <c r="I17" s="4">
        <v>10000.0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>
        <v>46027.0</v>
      </c>
      <c r="B18" s="10" t="s">
        <v>15</v>
      </c>
      <c r="C18" s="11">
        <f>30*12.3*48500</f>
        <v>17896500</v>
      </c>
      <c r="D18" s="11"/>
      <c r="E18" s="12">
        <v>46041.0</v>
      </c>
      <c r="F18" s="4">
        <f>17.18+8.9+13.08-3</f>
        <v>36.16</v>
      </c>
      <c r="G18" s="4">
        <f>5.24-0.6</f>
        <v>4.64</v>
      </c>
      <c r="H18" s="12">
        <v>46037.0</v>
      </c>
      <c r="I18" s="4">
        <v>10000.0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 t="s">
        <v>16</v>
      </c>
      <c r="C19" s="11"/>
      <c r="D19" s="11">
        <v>77300.0</v>
      </c>
      <c r="E19" s="12">
        <v>46042.0</v>
      </c>
      <c r="F19" s="4">
        <f>8.7+8.9+9.34+8.28+5.54-3</f>
        <v>37.76</v>
      </c>
      <c r="G19" s="4">
        <f>4.1-0.6</f>
        <v>3.5</v>
      </c>
      <c r="H19" s="12">
        <v>46038.0</v>
      </c>
      <c r="I19" s="4">
        <v>10000.0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 t="s">
        <v>17</v>
      </c>
      <c r="C20" s="11"/>
      <c r="D20" s="11">
        <v>1.78192E7</v>
      </c>
      <c r="E20" s="13"/>
      <c r="F20" s="4"/>
      <c r="G20" s="4"/>
      <c r="H20" s="12">
        <v>46039.0</v>
      </c>
      <c r="I20" s="4">
        <v>10000.0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 t="s">
        <v>7</v>
      </c>
      <c r="C21" s="11"/>
      <c r="D21" s="11">
        <v>15000.0</v>
      </c>
      <c r="E21" s="12">
        <v>46043.0</v>
      </c>
      <c r="F21" s="4">
        <f>17.4+16.64-2.4</f>
        <v>31.64</v>
      </c>
      <c r="G21" s="4">
        <v>3.0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 t="s">
        <v>8</v>
      </c>
      <c r="C22" s="11"/>
      <c r="D22" s="11">
        <v>15000.0</v>
      </c>
      <c r="E22" s="12">
        <v>46044.0</v>
      </c>
      <c r="F22" s="4">
        <f>18.02+5.52+9.08+9.38-3</f>
        <v>39</v>
      </c>
      <c r="G22" s="4">
        <f>4.9-0.6</f>
        <v>4.3</v>
      </c>
      <c r="H22" s="12">
        <v>46041.0</v>
      </c>
      <c r="I22" s="4">
        <v>10000.0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 t="s">
        <v>9</v>
      </c>
      <c r="C23" s="11"/>
      <c r="D23" s="11">
        <v>19000.0</v>
      </c>
      <c r="E23" s="12">
        <v>46045.0</v>
      </c>
      <c r="F23" s="4">
        <f>18.18+18.26+7.6-3</f>
        <v>41.04</v>
      </c>
      <c r="G23" s="4">
        <f>4.2-0.6</f>
        <v>3.6</v>
      </c>
      <c r="H23" s="12">
        <v>46042.0</v>
      </c>
      <c r="I23" s="4">
        <v>10000.0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>
        <v>46028.0</v>
      </c>
      <c r="B24" s="10" t="s">
        <v>7</v>
      </c>
      <c r="C24" s="11"/>
      <c r="D24" s="11">
        <v>15000.0</v>
      </c>
      <c r="E24" s="12">
        <v>46046.0</v>
      </c>
      <c r="F24" s="4">
        <f>18.24+18.8-2.4</f>
        <v>34.64</v>
      </c>
      <c r="G24" s="4">
        <f>5.1-0.6</f>
        <v>4.5</v>
      </c>
      <c r="H24" s="12">
        <v>46044.0</v>
      </c>
      <c r="I24" s="4">
        <v>10000.0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 t="s">
        <v>8</v>
      </c>
      <c r="C25" s="11"/>
      <c r="D25" s="11">
        <v>15000.0</v>
      </c>
      <c r="E25" s="12">
        <v>46048.0</v>
      </c>
      <c r="F25" s="4">
        <f>19.04+9.58-1.8</f>
        <v>26.82</v>
      </c>
      <c r="G25" s="4">
        <f>3.74-0.6</f>
        <v>3.14</v>
      </c>
      <c r="H25" s="12">
        <v>46045.0</v>
      </c>
      <c r="I25" s="4">
        <v>10000.0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 t="s">
        <v>9</v>
      </c>
      <c r="C26" s="11"/>
      <c r="D26" s="11">
        <v>19000.0</v>
      </c>
      <c r="E26" s="12">
        <v>46049.0</v>
      </c>
      <c r="F26" s="4">
        <f>9.18+8.9+8.84+8.62+3.7-3</f>
        <v>36.24</v>
      </c>
      <c r="G26" s="4">
        <v>4.0</v>
      </c>
      <c r="H26" s="12">
        <v>46046.0</v>
      </c>
      <c r="I26" s="4">
        <v>10000.0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 t="s">
        <v>18</v>
      </c>
      <c r="C27" s="11">
        <v>20000.0</v>
      </c>
      <c r="D27" s="11"/>
      <c r="E27" s="12">
        <v>46050.0</v>
      </c>
      <c r="F27" s="4">
        <f>19.44+9.66+9.58-2.4</f>
        <v>36.28</v>
      </c>
      <c r="G27" s="4">
        <v>3.9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>
        <v>46029.0</v>
      </c>
      <c r="B28" s="10" t="s">
        <v>7</v>
      </c>
      <c r="C28" s="11"/>
      <c r="D28" s="11">
        <v>15000.0</v>
      </c>
      <c r="E28" s="12">
        <v>46051.0</v>
      </c>
      <c r="F28" s="4">
        <f>9.68+9.36+9.28+8.98-2.4</f>
        <v>34.9</v>
      </c>
      <c r="G28" s="4">
        <v>4.0</v>
      </c>
      <c r="H28" s="12">
        <v>46048.0</v>
      </c>
      <c r="I28" s="4">
        <v>10000.0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8</v>
      </c>
      <c r="C29" s="11"/>
      <c r="D29" s="11">
        <v>15000.0</v>
      </c>
      <c r="E29" s="12">
        <v>46052.0</v>
      </c>
      <c r="F29" s="4">
        <f>9.98+9.84+9.58+9.72-2.4</f>
        <v>36.72</v>
      </c>
      <c r="G29" s="4">
        <f>4.16-0.6</f>
        <v>3.56</v>
      </c>
      <c r="H29" s="12">
        <v>46049.0</v>
      </c>
      <c r="I29" s="4">
        <v>10000.0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 t="s">
        <v>9</v>
      </c>
      <c r="C30" s="11"/>
      <c r="D30" s="11">
        <v>19000.0</v>
      </c>
      <c r="E30" s="12">
        <v>46053.0</v>
      </c>
      <c r="F30" s="4">
        <f>18.34+9.42+9.5-2.4</f>
        <v>34.86</v>
      </c>
      <c r="G30" s="4">
        <f>4.1-0.6</f>
        <v>3.5</v>
      </c>
      <c r="H30" s="12">
        <v>46050.0</v>
      </c>
      <c r="I30" s="4">
        <v>10000.0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>
        <v>46030.0</v>
      </c>
      <c r="B31" s="10" t="s">
        <v>7</v>
      </c>
      <c r="C31" s="11"/>
      <c r="D31" s="11">
        <v>15000.0</v>
      </c>
      <c r="E31" s="4"/>
      <c r="F31" s="4"/>
      <c r="G31" s="4"/>
      <c r="H31" s="12">
        <v>46051.0</v>
      </c>
      <c r="I31" s="4">
        <v>10000.0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 t="s">
        <v>8</v>
      </c>
      <c r="C32" s="11"/>
      <c r="D32" s="11">
        <v>15000.0</v>
      </c>
      <c r="E32" s="4"/>
      <c r="F32" s="4"/>
      <c r="G32" s="4"/>
      <c r="H32" s="12">
        <v>46052.0</v>
      </c>
      <c r="I32" s="4">
        <v>10000.0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 t="s">
        <v>9</v>
      </c>
      <c r="C33" s="11"/>
      <c r="D33" s="11">
        <v>19000.0</v>
      </c>
      <c r="E33" s="4"/>
      <c r="F33" s="4"/>
      <c r="G33" s="4"/>
      <c r="H33" s="12">
        <v>46053.0</v>
      </c>
      <c r="I33" s="4">
        <v>10000.0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>
        <v>46031.0</v>
      </c>
      <c r="B34" s="10" t="s">
        <v>7</v>
      </c>
      <c r="C34" s="11"/>
      <c r="D34" s="11">
        <v>15000.0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 t="s">
        <v>8</v>
      </c>
      <c r="C35" s="11"/>
      <c r="D35" s="11">
        <v>15000.0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 t="s">
        <v>9</v>
      </c>
      <c r="C36" s="11"/>
      <c r="D36" s="11">
        <v>19000.0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 t="s">
        <v>19</v>
      </c>
      <c r="C37" s="11"/>
      <c r="D37" s="11">
        <v>38000.0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20</v>
      </c>
      <c r="C38" s="11">
        <v>20000.0</v>
      </c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>
        <v>46032.0</v>
      </c>
      <c r="B39" s="10" t="s">
        <v>7</v>
      </c>
      <c r="C39" s="11"/>
      <c r="D39" s="11">
        <v>15000.0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 t="s">
        <v>8</v>
      </c>
      <c r="C40" s="11"/>
      <c r="D40" s="11">
        <v>15000.0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 t="s">
        <v>9</v>
      </c>
      <c r="C41" s="11"/>
      <c r="D41" s="11">
        <v>19000.0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 t="s">
        <v>14</v>
      </c>
      <c r="C42" s="11"/>
      <c r="D42" s="11">
        <v>60000.0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 t="s">
        <v>21</v>
      </c>
      <c r="C43" s="11">
        <v>1.38375E7</v>
      </c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22</v>
      </c>
      <c r="C44" s="11"/>
      <c r="D44" s="11">
        <f>25*12.3*45000</f>
        <v>13837500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>
        <v>46034.0</v>
      </c>
      <c r="B45" s="10" t="s">
        <v>23</v>
      </c>
      <c r="C45" s="11">
        <v>32500.0</v>
      </c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 t="s">
        <v>7</v>
      </c>
      <c r="C46" s="11"/>
      <c r="D46" s="11">
        <v>15000.0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 t="s">
        <v>8</v>
      </c>
      <c r="C47" s="11"/>
      <c r="D47" s="11">
        <v>15000.0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 t="s">
        <v>9</v>
      </c>
      <c r="C48" s="11"/>
      <c r="D48" s="11">
        <v>19000.0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>
        <v>46035.0</v>
      </c>
      <c r="B49" s="10" t="s">
        <v>21</v>
      </c>
      <c r="C49" s="11">
        <v>1500000.0</v>
      </c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 t="s">
        <v>24</v>
      </c>
      <c r="C50" s="11"/>
      <c r="D50" s="11">
        <v>190000.0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 t="s">
        <v>7</v>
      </c>
      <c r="C51" s="11"/>
      <c r="D51" s="11">
        <v>15000.0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 t="s">
        <v>8</v>
      </c>
      <c r="C52" s="11"/>
      <c r="D52" s="11">
        <v>15000.0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 t="s">
        <v>9</v>
      </c>
      <c r="C53" s="11"/>
      <c r="D53" s="11">
        <v>19000.0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>
        <v>46036.0</v>
      </c>
      <c r="B54" s="10" t="s">
        <v>7</v>
      </c>
      <c r="C54" s="11"/>
      <c r="D54" s="11">
        <v>15000.0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 t="s">
        <v>9</v>
      </c>
      <c r="C55" s="11"/>
      <c r="D55" s="11">
        <v>19000.0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 t="s">
        <v>25</v>
      </c>
      <c r="C56" s="11"/>
      <c r="D56" s="11">
        <f>19000+5000</f>
        <v>24000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 t="s">
        <v>26</v>
      </c>
      <c r="C57" s="11">
        <v>12500.0</v>
      </c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>
        <v>46037.0</v>
      </c>
      <c r="B58" s="10" t="s">
        <v>7</v>
      </c>
      <c r="C58" s="11"/>
      <c r="D58" s="11">
        <v>15000.0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 t="s">
        <v>8</v>
      </c>
      <c r="C59" s="11"/>
      <c r="D59" s="11">
        <v>15000.0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 t="s">
        <v>9</v>
      </c>
      <c r="C60" s="11"/>
      <c r="D60" s="11">
        <v>19000.0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>
        <v>46038.0</v>
      </c>
      <c r="B61" s="10" t="s">
        <v>21</v>
      </c>
      <c r="C61" s="11">
        <f>5000*4195</f>
        <v>20975000</v>
      </c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 t="s">
        <v>27</v>
      </c>
      <c r="C62" s="11"/>
      <c r="D62" s="11">
        <f>5000*4195</f>
        <v>20975000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 t="s">
        <v>7</v>
      </c>
      <c r="C63" s="11"/>
      <c r="D63" s="11">
        <v>15000.0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 t="s">
        <v>8</v>
      </c>
      <c r="C64" s="11"/>
      <c r="D64" s="11">
        <v>15000.0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 t="s">
        <v>9</v>
      </c>
      <c r="C65" s="11"/>
      <c r="D65" s="11">
        <v>19000.0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>
        <v>46039.0</v>
      </c>
      <c r="B66" s="10" t="s">
        <v>18</v>
      </c>
      <c r="C66" s="11">
        <v>40000.0</v>
      </c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 t="s">
        <v>7</v>
      </c>
      <c r="C67" s="11"/>
      <c r="D67" s="11">
        <v>15000.0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 t="s">
        <v>8</v>
      </c>
      <c r="C68" s="11"/>
      <c r="D68" s="11">
        <v>15000.0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 t="s">
        <v>9</v>
      </c>
      <c r="C69" s="11"/>
      <c r="D69" s="11">
        <v>19000.0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 t="s">
        <v>14</v>
      </c>
      <c r="C70" s="11"/>
      <c r="D70" s="11">
        <v>60000.0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 t="s">
        <v>28</v>
      </c>
      <c r="C71" s="11">
        <v>17000.0</v>
      </c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>
        <v>46041.0</v>
      </c>
      <c r="B72" s="10" t="s">
        <v>7</v>
      </c>
      <c r="C72" s="11"/>
      <c r="D72" s="11">
        <v>15000.0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 t="s">
        <v>8</v>
      </c>
      <c r="C73" s="11"/>
      <c r="D73" s="11">
        <v>15000.0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 t="s">
        <v>9</v>
      </c>
      <c r="C74" s="11"/>
      <c r="D74" s="11">
        <v>19000.0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>
        <v>46042.0</v>
      </c>
      <c r="B75" s="10" t="s">
        <v>7</v>
      </c>
      <c r="C75" s="11"/>
      <c r="D75" s="11">
        <v>15000.0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 t="s">
        <v>8</v>
      </c>
      <c r="C76" s="11"/>
      <c r="D76" s="11">
        <v>15000.0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 t="s">
        <v>9</v>
      </c>
      <c r="C77" s="11"/>
      <c r="D77" s="11">
        <v>19000.0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 t="s">
        <v>18</v>
      </c>
      <c r="C78" s="11">
        <v>40000.0</v>
      </c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>
        <v>46043.0</v>
      </c>
      <c r="B79" s="10" t="s">
        <v>7</v>
      </c>
      <c r="C79" s="11"/>
      <c r="D79" s="11">
        <v>15000.0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 t="s">
        <v>8</v>
      </c>
      <c r="C80" s="11"/>
      <c r="D80" s="11">
        <v>15000.0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 t="s">
        <v>9</v>
      </c>
      <c r="C81" s="11"/>
      <c r="D81" s="11">
        <v>19000.0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 t="s">
        <v>21</v>
      </c>
      <c r="C82" s="11">
        <v>500000.0</v>
      </c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 t="s">
        <v>29</v>
      </c>
      <c r="C83" s="11"/>
      <c r="D83" s="11">
        <v>38000.0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 t="s">
        <v>30</v>
      </c>
      <c r="C84" s="11"/>
      <c r="D84" s="11">
        <v>10000.0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 t="s">
        <v>18</v>
      </c>
      <c r="C85" s="11">
        <v>20000.0</v>
      </c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>
        <v>46044.0</v>
      </c>
      <c r="B86" s="10" t="s">
        <v>7</v>
      </c>
      <c r="C86" s="11"/>
      <c r="D86" s="11">
        <v>15000.0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 t="s">
        <v>8</v>
      </c>
      <c r="C87" s="11"/>
      <c r="D87" s="11">
        <v>15000.0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 t="s">
        <v>9</v>
      </c>
      <c r="C88" s="11"/>
      <c r="D88" s="11">
        <v>19000.0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>
        <v>46045.0</v>
      </c>
      <c r="B89" s="10" t="s">
        <v>31</v>
      </c>
      <c r="C89" s="11">
        <v>17500.0</v>
      </c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 t="s">
        <v>16</v>
      </c>
      <c r="C90" s="11"/>
      <c r="D90" s="11">
        <v>190000.0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 t="s">
        <v>7</v>
      </c>
      <c r="C91" s="11"/>
      <c r="D91" s="11">
        <v>15000.0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 t="s">
        <v>8</v>
      </c>
      <c r="C92" s="11"/>
      <c r="D92" s="11">
        <v>15000.0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 t="s">
        <v>9</v>
      </c>
      <c r="C93" s="11"/>
      <c r="D93" s="11">
        <v>19000.0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>
        <v>46046.0</v>
      </c>
      <c r="B94" s="10" t="s">
        <v>26</v>
      </c>
      <c r="C94" s="11">
        <v>12500.0</v>
      </c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 t="s">
        <v>32</v>
      </c>
      <c r="C95" s="11">
        <v>20000.0</v>
      </c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 t="s">
        <v>33</v>
      </c>
      <c r="C96" s="11">
        <v>8000.0</v>
      </c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 t="s">
        <v>7</v>
      </c>
      <c r="C97" s="11"/>
      <c r="D97" s="11">
        <v>15000.0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 t="s">
        <v>8</v>
      </c>
      <c r="C98" s="11"/>
      <c r="D98" s="11">
        <v>15000.0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 t="s">
        <v>9</v>
      </c>
      <c r="C99" s="11"/>
      <c r="D99" s="11">
        <v>19000.0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 t="s">
        <v>14</v>
      </c>
      <c r="C100" s="11"/>
      <c r="D100" s="11">
        <v>50000.0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>
        <v>46048.0</v>
      </c>
      <c r="B101" s="10" t="s">
        <v>21</v>
      </c>
      <c r="C101" s="11">
        <v>1.48375E7</v>
      </c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 t="s">
        <v>34</v>
      </c>
      <c r="C102" s="11"/>
      <c r="D102" s="11">
        <f>12.3*25*45000</f>
        <v>13837500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 t="s">
        <v>7</v>
      </c>
      <c r="C103" s="11"/>
      <c r="D103" s="11">
        <v>15000.0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 t="s">
        <v>9</v>
      </c>
      <c r="C104" s="11"/>
      <c r="D104" s="11">
        <v>19000.0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 t="s">
        <v>35</v>
      </c>
      <c r="C105" s="11">
        <v>100000.0</v>
      </c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>
        <v>46049.0</v>
      </c>
      <c r="B106" s="10" t="s">
        <v>7</v>
      </c>
      <c r="C106" s="11"/>
      <c r="D106" s="11">
        <v>15000.0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 t="s">
        <v>8</v>
      </c>
      <c r="C107" s="11"/>
      <c r="D107" s="11">
        <v>15000.0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 t="s">
        <v>9</v>
      </c>
      <c r="C108" s="11"/>
      <c r="D108" s="11">
        <v>19000.0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 t="s">
        <v>36</v>
      </c>
      <c r="C109" s="11"/>
      <c r="D109" s="11">
        <v>5000.0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>
        <v>46050.0</v>
      </c>
      <c r="B110" s="10" t="s">
        <v>7</v>
      </c>
      <c r="C110" s="11"/>
      <c r="D110" s="11">
        <v>15000.0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 t="s">
        <v>8</v>
      </c>
      <c r="C111" s="11"/>
      <c r="D111" s="11">
        <v>15000.0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 t="s">
        <v>9</v>
      </c>
      <c r="C112" s="11"/>
      <c r="D112" s="11">
        <v>19000.0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 t="s">
        <v>37</v>
      </c>
      <c r="C113" s="11">
        <v>420000.0</v>
      </c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 t="s">
        <v>18</v>
      </c>
      <c r="C114" s="11">
        <v>20000.0</v>
      </c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>
        <v>46051.0</v>
      </c>
      <c r="B115" s="10" t="s">
        <v>7</v>
      </c>
      <c r="C115" s="11"/>
      <c r="D115" s="11">
        <v>15000.0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 t="s">
        <v>8</v>
      </c>
      <c r="C116" s="11"/>
      <c r="D116" s="11">
        <v>15000.0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 t="s">
        <v>9</v>
      </c>
      <c r="C117" s="11"/>
      <c r="D117" s="11">
        <v>19000.0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>
        <v>46052.0</v>
      </c>
      <c r="B118" s="10" t="s">
        <v>38</v>
      </c>
      <c r="C118" s="11"/>
      <c r="D118" s="11">
        <v>27000.0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 t="s">
        <v>7</v>
      </c>
      <c r="C119" s="11"/>
      <c r="D119" s="11">
        <v>15000.0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 t="s">
        <v>8</v>
      </c>
      <c r="C120" s="11"/>
      <c r="D120" s="11">
        <v>15000.0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 t="s">
        <v>9</v>
      </c>
      <c r="C121" s="11"/>
      <c r="D121" s="11">
        <v>19000.0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 t="s">
        <v>18</v>
      </c>
      <c r="C122" s="11">
        <v>20000.0</v>
      </c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 t="s">
        <v>39</v>
      </c>
      <c r="C123" s="11">
        <v>50000.0</v>
      </c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>
        <v>46053.0</v>
      </c>
      <c r="B124" s="10" t="s">
        <v>7</v>
      </c>
      <c r="C124" s="11"/>
      <c r="D124" s="11">
        <v>15000.0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 t="s">
        <v>8</v>
      </c>
      <c r="C125" s="11"/>
      <c r="D125" s="11">
        <v>15000.0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 t="s">
        <v>14</v>
      </c>
      <c r="C126" s="11"/>
      <c r="D126" s="11">
        <v>60000.0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 t="s">
        <v>18</v>
      </c>
      <c r="C127" s="11">
        <v>85000.0</v>
      </c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>
        <v>46054.0</v>
      </c>
      <c r="B128" s="10" t="s">
        <v>40</v>
      </c>
      <c r="C128" s="11"/>
      <c r="D128" s="11">
        <v>2143000.0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>
        <f t="shared" ref="C129:D129" si="2">SUM(C3:C128)</f>
        <v>71528500</v>
      </c>
      <c r="D129" s="11">
        <f t="shared" si="2"/>
        <v>70816500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 t="s">
        <v>5</v>
      </c>
      <c r="C130" s="11">
        <f>C129-D129</f>
        <v>712000</v>
      </c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>
        <v>46054.0</v>
      </c>
      <c r="B3" s="10" t="s">
        <v>5</v>
      </c>
      <c r="C3" s="11">
        <v>712000.0</v>
      </c>
      <c r="D3" s="11"/>
      <c r="E3" s="4"/>
      <c r="F3" s="4"/>
      <c r="G3" s="4"/>
      <c r="H3" s="4"/>
      <c r="I3" s="4" t="s">
        <v>41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>
        <v>46055.0</v>
      </c>
      <c r="B4" s="10" t="s">
        <v>7</v>
      </c>
      <c r="C4" s="11"/>
      <c r="D4" s="11">
        <v>15000.0</v>
      </c>
      <c r="E4" s="12">
        <v>46055.0</v>
      </c>
      <c r="F4" s="4">
        <f>9.98+10+9.86+9.96-2.4</f>
        <v>37.4</v>
      </c>
      <c r="G4" s="4">
        <f>4.2-0.6</f>
        <v>3.6</v>
      </c>
      <c r="H4" s="12">
        <v>46055.0</v>
      </c>
      <c r="I4" s="4">
        <v>10000.0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 t="s">
        <v>8</v>
      </c>
      <c r="C5" s="11"/>
      <c r="D5" s="11">
        <v>15000.0</v>
      </c>
      <c r="E5" s="12">
        <v>46056.0</v>
      </c>
      <c r="F5" s="4">
        <f>9.6+10+9.98+9.4-0.24</f>
        <v>38.74</v>
      </c>
      <c r="G5" s="4">
        <f>3.86-0.6</f>
        <v>3.26</v>
      </c>
      <c r="H5" s="12">
        <v>46056.0</v>
      </c>
      <c r="I5" s="4">
        <v>10000.0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 t="s">
        <v>9</v>
      </c>
      <c r="C6" s="11"/>
      <c r="D6" s="11">
        <v>19000.0</v>
      </c>
      <c r="E6" s="12">
        <v>46057.0</v>
      </c>
      <c r="F6" s="4">
        <f>9.48+9.62+9.74+9.14-2.4</f>
        <v>35.58</v>
      </c>
      <c r="G6" s="4">
        <f>5.26-0.6</f>
        <v>4.66</v>
      </c>
      <c r="H6" s="12">
        <v>46057.0</v>
      </c>
      <c r="I6" s="4">
        <v>10000.0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 t="s">
        <v>42</v>
      </c>
      <c r="C7" s="11">
        <v>165000.0</v>
      </c>
      <c r="D7" s="11"/>
      <c r="E7" s="12">
        <v>46058.0</v>
      </c>
      <c r="F7" s="4">
        <f>17.94+8.84+9.02+5.9-3</f>
        <v>38.7</v>
      </c>
      <c r="G7" s="4">
        <f>3.86-0.6</f>
        <v>3.26</v>
      </c>
      <c r="H7" s="12">
        <v>46058.0</v>
      </c>
      <c r="I7" s="4">
        <v>10000.0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>
        <v>46056.0</v>
      </c>
      <c r="B8" s="10" t="s">
        <v>18</v>
      </c>
      <c r="C8" s="11">
        <v>40000.0</v>
      </c>
      <c r="D8" s="11"/>
      <c r="E8" s="12">
        <v>46059.0</v>
      </c>
      <c r="F8" s="4">
        <f>9.58+9.74+9.22+9.8-2.4</f>
        <v>35.94</v>
      </c>
      <c r="G8" s="4">
        <v>3.0</v>
      </c>
      <c r="H8" s="12">
        <v>46059.0</v>
      </c>
      <c r="I8" s="4">
        <v>10000.0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 t="s">
        <v>16</v>
      </c>
      <c r="C9" s="11"/>
      <c r="D9" s="11">
        <v>15000.0</v>
      </c>
      <c r="E9" s="12">
        <v>46060.0</v>
      </c>
      <c r="F9" s="4">
        <f>10.3+9.94+9.48+9.5-2.4</f>
        <v>36.82</v>
      </c>
      <c r="G9" s="4">
        <v>3.1</v>
      </c>
      <c r="H9" s="12">
        <v>46060.0</v>
      </c>
      <c r="I9" s="4">
        <v>10000.0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 t="s">
        <v>7</v>
      </c>
      <c r="C10" s="11"/>
      <c r="D10" s="11">
        <v>15000.0</v>
      </c>
      <c r="E10" s="12"/>
      <c r="F10" s="4"/>
      <c r="G10" s="4"/>
      <c r="H10" s="12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8</v>
      </c>
      <c r="C11" s="11"/>
      <c r="D11" s="11">
        <v>15000.0</v>
      </c>
      <c r="E11" s="12">
        <v>46062.0</v>
      </c>
      <c r="F11" s="4">
        <f>9.86+9.48+9.56+9.62-2.4</f>
        <v>36.12</v>
      </c>
      <c r="G11" s="4">
        <v>3.0</v>
      </c>
      <c r="H11" s="12">
        <v>46062.0</v>
      </c>
      <c r="I11" s="4">
        <v>10000.0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 t="s">
        <v>9</v>
      </c>
      <c r="C12" s="11"/>
      <c r="D12" s="11">
        <v>19000.0</v>
      </c>
      <c r="E12" s="12">
        <v>46063.0</v>
      </c>
      <c r="F12" s="4">
        <f>17+16.7+7.85-3</f>
        <v>38.55</v>
      </c>
      <c r="G12" s="4">
        <v>3.0</v>
      </c>
      <c r="H12" s="12">
        <v>46064.0</v>
      </c>
      <c r="I12" s="4">
        <v>10000.0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>
        <v>46057.0</v>
      </c>
      <c r="B13" s="10" t="s">
        <v>7</v>
      </c>
      <c r="C13" s="11"/>
      <c r="D13" s="11">
        <v>15000.0</v>
      </c>
      <c r="E13" s="12">
        <v>46064.0</v>
      </c>
      <c r="F13" s="4">
        <f>17.4+17.98+5.52-3</f>
        <v>37.9</v>
      </c>
      <c r="G13" s="4">
        <f>3.4-0.6</f>
        <v>2.8</v>
      </c>
      <c r="H13" s="12">
        <v>46066.0</v>
      </c>
      <c r="I13" s="4">
        <v>10000.0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 t="s">
        <v>8</v>
      </c>
      <c r="C14" s="11"/>
      <c r="D14" s="11">
        <v>15000.0</v>
      </c>
      <c r="E14" s="12">
        <v>46065.0</v>
      </c>
      <c r="F14" s="4">
        <f>8.95+9.1+8.5+7.05+9.05-3</f>
        <v>39.65</v>
      </c>
      <c r="G14" s="4">
        <v>2.5</v>
      </c>
      <c r="H14" s="12">
        <v>46067.0</v>
      </c>
      <c r="I14" s="4">
        <v>10000.0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 t="s">
        <v>9</v>
      </c>
      <c r="C15" s="11"/>
      <c r="D15" s="11">
        <v>19000.0</v>
      </c>
      <c r="E15" s="12">
        <v>46066.0</v>
      </c>
      <c r="F15" s="4">
        <f>15.54+17.98+8.6-3</f>
        <v>39.12</v>
      </c>
      <c r="G15" s="4">
        <v>2.4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>
        <v>46058.0</v>
      </c>
      <c r="B16" s="10" t="s">
        <v>7</v>
      </c>
      <c r="C16" s="11"/>
      <c r="D16" s="11">
        <v>15000.0</v>
      </c>
      <c r="E16" s="12">
        <v>46067.0</v>
      </c>
      <c r="F16" s="4">
        <f>17.52+16.8+8.58-3</f>
        <v>39.9</v>
      </c>
      <c r="G16" s="4">
        <v>2.2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8</v>
      </c>
      <c r="C17" s="11"/>
      <c r="D17" s="11">
        <v>15000.0</v>
      </c>
      <c r="E17" s="12">
        <v>46069.0</v>
      </c>
      <c r="F17" s="4">
        <f>17.94+14.92+8.78-3</f>
        <v>38.64</v>
      </c>
      <c r="G17" s="4">
        <v>2.08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 t="s">
        <v>9</v>
      </c>
      <c r="C18" s="11"/>
      <c r="D18" s="11">
        <v>19000.0</v>
      </c>
      <c r="E18" s="12">
        <v>46070.0</v>
      </c>
      <c r="F18" s="4">
        <f>17.5+8.74+9.2+4.1-3</f>
        <v>36.54</v>
      </c>
      <c r="G18" s="4">
        <f>2.76-0.3</f>
        <v>2.46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>
        <v>46059.0</v>
      </c>
      <c r="B19" s="10" t="s">
        <v>7</v>
      </c>
      <c r="C19" s="11"/>
      <c r="D19" s="11">
        <v>15000.0</v>
      </c>
      <c r="E19" s="12">
        <v>46071.0</v>
      </c>
      <c r="F19" s="4">
        <f>9.65+9.35+9.85-1.8</f>
        <v>27.05</v>
      </c>
      <c r="G19" s="4">
        <v>1.9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 t="s">
        <v>8</v>
      </c>
      <c r="C20" s="11"/>
      <c r="D20" s="11">
        <v>15000.0</v>
      </c>
      <c r="E20" s="12"/>
      <c r="F20" s="4"/>
      <c r="G20" s="1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 t="s">
        <v>9</v>
      </c>
      <c r="C21" s="11"/>
      <c r="D21" s="11">
        <v>19000.0</v>
      </c>
      <c r="E21" s="12">
        <v>46072.0</v>
      </c>
      <c r="F21" s="4">
        <v>24.56</v>
      </c>
      <c r="G21" s="4">
        <v>1.75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 t="s">
        <v>28</v>
      </c>
      <c r="C22" s="11">
        <v>29000.0</v>
      </c>
      <c r="D22" s="11"/>
      <c r="E22" s="12">
        <v>46073.0</v>
      </c>
      <c r="F22" s="4">
        <f>9.66+10.48+9.38-1.8</f>
        <v>27.72</v>
      </c>
      <c r="G22" s="4">
        <f>1.92-0.35</f>
        <v>1.57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>
        <v>46060.0</v>
      </c>
      <c r="B23" s="10" t="s">
        <v>7</v>
      </c>
      <c r="C23" s="11"/>
      <c r="D23" s="11">
        <v>15000.0</v>
      </c>
      <c r="E23" s="12">
        <v>46074.0</v>
      </c>
      <c r="F23" s="4">
        <f>8.8+8.3+9.1-1.8</f>
        <v>24.4</v>
      </c>
      <c r="G23" s="4">
        <f>1.86-0.35</f>
        <v>1.51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 t="s">
        <v>8</v>
      </c>
      <c r="C24" s="11"/>
      <c r="D24" s="11">
        <v>15000.0</v>
      </c>
      <c r="E24" s="4"/>
      <c r="F24" s="4"/>
      <c r="G24" s="4"/>
      <c r="H24" s="4"/>
      <c r="I24" s="4" t="s">
        <v>41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 t="s">
        <v>9</v>
      </c>
      <c r="C25" s="11"/>
      <c r="D25" s="11">
        <v>19000.0</v>
      </c>
      <c r="E25" s="12">
        <v>46076.0</v>
      </c>
      <c r="F25" s="4">
        <f>8.8+8.46+8.76-1.8</f>
        <v>24.22</v>
      </c>
      <c r="G25" s="4">
        <f>1.85-0.35</f>
        <v>1.5</v>
      </c>
      <c r="H25" s="4"/>
      <c r="I25" s="4">
        <v>10000.0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 t="s">
        <v>41</v>
      </c>
      <c r="C26" s="11"/>
      <c r="D26" s="11">
        <v>60000.0</v>
      </c>
      <c r="E26" s="12">
        <v>46077.0</v>
      </c>
      <c r="F26" s="4">
        <f>9.1+9.46+9.16+7-2.4</f>
        <v>32.32</v>
      </c>
      <c r="G26" s="4">
        <f>2.15-0.35</f>
        <v>1.8</v>
      </c>
      <c r="H26" s="4"/>
      <c r="I26" s="4">
        <v>10000.0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 t="s">
        <v>28</v>
      </c>
      <c r="C27" s="11">
        <v>5000.0</v>
      </c>
      <c r="D27" s="11"/>
      <c r="E27" s="12">
        <v>46078.0</v>
      </c>
      <c r="F27" s="4">
        <v>5.7</v>
      </c>
      <c r="G27" s="4">
        <v>0.28</v>
      </c>
      <c r="H27" s="4"/>
      <c r="I27" s="4">
        <v>10000.0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>
        <v>46061.0</v>
      </c>
      <c r="B28" s="10" t="s">
        <v>43</v>
      </c>
      <c r="C28" s="11"/>
      <c r="D28" s="11">
        <v>28000.0</v>
      </c>
      <c r="E28" s="12">
        <v>46079.0</v>
      </c>
      <c r="F28" s="4">
        <f>8.98+9.28+8.86-1.8</f>
        <v>25.32</v>
      </c>
      <c r="G28" s="4">
        <f>2-0.35</f>
        <v>1.65</v>
      </c>
      <c r="H28" s="4"/>
      <c r="I28" s="4">
        <v>10000.0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21</v>
      </c>
      <c r="C29" s="11">
        <v>1000000.0</v>
      </c>
      <c r="D29" s="11"/>
      <c r="E29" s="12">
        <v>46080.0</v>
      </c>
      <c r="F29" s="4">
        <f>8.46+7.76+8.6-1.8</f>
        <v>23.02</v>
      </c>
      <c r="G29" s="4">
        <v>2.0</v>
      </c>
      <c r="H29" s="4"/>
      <c r="I29" s="4">
        <v>10000.0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>
        <v>46062.0</v>
      </c>
      <c r="B30" s="10" t="s">
        <v>7</v>
      </c>
      <c r="C30" s="11"/>
      <c r="D30" s="11">
        <v>15000.0</v>
      </c>
      <c r="E30" s="12">
        <v>46081.0</v>
      </c>
      <c r="F30" s="4">
        <f>8.9+8.7+15.4+9.4+3.06--3.6</f>
        <v>49.06</v>
      </c>
      <c r="G30" s="4">
        <f>4.22-0.6</f>
        <v>3.62</v>
      </c>
      <c r="H30" s="4"/>
      <c r="I30" s="4">
        <v>10000.0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 t="s">
        <v>8</v>
      </c>
      <c r="C31" s="11"/>
      <c r="D31" s="11">
        <v>15000.0</v>
      </c>
      <c r="E31" s="12">
        <v>46082.0</v>
      </c>
      <c r="F31" s="4">
        <f>18.06+9.36+9.36+9.22-3</f>
        <v>43</v>
      </c>
      <c r="G31" s="4">
        <f>4.88-0.6</f>
        <v>4.28</v>
      </c>
      <c r="H31" s="4"/>
      <c r="I31" s="4">
        <v>10000.0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 t="s">
        <v>9</v>
      </c>
      <c r="C32" s="11"/>
      <c r="D32" s="11">
        <v>19000.0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 t="s">
        <v>28</v>
      </c>
      <c r="C33" s="11">
        <v>65000.0</v>
      </c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>
        <v>46063.0</v>
      </c>
      <c r="B34" s="10" t="s">
        <v>9</v>
      </c>
      <c r="C34" s="11"/>
      <c r="D34" s="11">
        <v>19000.0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 t="s">
        <v>7</v>
      </c>
      <c r="C35" s="11"/>
      <c r="D35" s="11">
        <v>15000.0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 t="s">
        <v>8</v>
      </c>
      <c r="C36" s="11"/>
      <c r="D36" s="11">
        <v>15000.0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>
        <v>46064.0</v>
      </c>
      <c r="B37" s="10" t="s">
        <v>44</v>
      </c>
      <c r="C37" s="11"/>
      <c r="D37" s="11">
        <v>3000.0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7</v>
      </c>
      <c r="C38" s="11"/>
      <c r="D38" s="11">
        <v>15000.0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 t="s">
        <v>8</v>
      </c>
      <c r="C39" s="11"/>
      <c r="D39" s="11">
        <v>15000.0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 t="s">
        <v>9</v>
      </c>
      <c r="C40" s="11"/>
      <c r="D40" s="11">
        <v>19000.0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 t="s">
        <v>45</v>
      </c>
      <c r="C41" s="11"/>
      <c r="D41" s="11">
        <v>165000.0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 t="s">
        <v>46</v>
      </c>
      <c r="C42" s="11"/>
      <c r="D42" s="11">
        <v>4000.0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>
        <v>46065.0</v>
      </c>
      <c r="B43" s="10" t="s">
        <v>9</v>
      </c>
      <c r="C43" s="11"/>
      <c r="D43" s="11">
        <v>19000.0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47</v>
      </c>
      <c r="C44" s="11"/>
      <c r="D44" s="11">
        <v>145000.0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>
        <v>46066.0</v>
      </c>
      <c r="B45" s="10" t="s">
        <v>21</v>
      </c>
      <c r="C45" s="11">
        <v>1500000.0</v>
      </c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 t="s">
        <v>21</v>
      </c>
      <c r="C46" s="11">
        <v>1.38375E7</v>
      </c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 t="s">
        <v>48</v>
      </c>
      <c r="C47" s="11"/>
      <c r="D47" s="11">
        <v>1.38375E7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 t="s">
        <v>49</v>
      </c>
      <c r="C48" s="11"/>
      <c r="D48" s="11">
        <v>5500.0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 t="s">
        <v>7</v>
      </c>
      <c r="C49" s="11"/>
      <c r="D49" s="11">
        <v>15000.0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 t="s">
        <v>8</v>
      </c>
      <c r="C50" s="11"/>
      <c r="D50" s="11">
        <v>15000.0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 t="s">
        <v>9</v>
      </c>
      <c r="C51" s="11"/>
      <c r="D51" s="11">
        <v>19000.0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>
        <v>46067.0</v>
      </c>
      <c r="B52" s="10" t="s">
        <v>50</v>
      </c>
      <c r="C52" s="11"/>
      <c r="D52" s="11">
        <v>190000.0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 t="s">
        <v>7</v>
      </c>
      <c r="C53" s="11"/>
      <c r="D53" s="11">
        <v>15000.0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 t="s">
        <v>8</v>
      </c>
      <c r="C54" s="11"/>
      <c r="D54" s="11">
        <v>15000.0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 t="s">
        <v>9</v>
      </c>
      <c r="C55" s="11"/>
      <c r="D55" s="11">
        <v>19000.0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 t="s">
        <v>41</v>
      </c>
      <c r="C56" s="11"/>
      <c r="D56" s="11">
        <v>60000.0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 t="s">
        <v>51</v>
      </c>
      <c r="C57" s="11">
        <v>3500.0</v>
      </c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>
        <v>46069.0</v>
      </c>
      <c r="B58" s="10" t="s">
        <v>7</v>
      </c>
      <c r="C58" s="11"/>
      <c r="D58" s="11">
        <v>15000.0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 t="s">
        <v>8</v>
      </c>
      <c r="C59" s="11"/>
      <c r="D59" s="11">
        <v>15000.0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 t="s">
        <v>9</v>
      </c>
      <c r="C60" s="11"/>
      <c r="D60" s="11">
        <v>19000.0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>
        <v>46070.0</v>
      </c>
      <c r="B61" s="10" t="s">
        <v>7</v>
      </c>
      <c r="C61" s="11"/>
      <c r="D61" s="11">
        <v>15000.0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 t="s">
        <v>8</v>
      </c>
      <c r="C62" s="11"/>
      <c r="D62" s="11">
        <v>15000.0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 t="s">
        <v>9</v>
      </c>
      <c r="C63" s="11"/>
      <c r="D63" s="11">
        <v>19000.0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>
        <v>46071.0</v>
      </c>
      <c r="B64" s="10" t="s">
        <v>8</v>
      </c>
      <c r="C64" s="11"/>
      <c r="D64" s="11">
        <v>15000.0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 t="s">
        <v>9</v>
      </c>
      <c r="C65" s="11"/>
      <c r="D65" s="11">
        <v>19000.0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 t="s">
        <v>47</v>
      </c>
      <c r="C66" s="11">
        <v>590000.0</v>
      </c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 t="s">
        <v>52</v>
      </c>
      <c r="C67" s="11">
        <v>1450000.0</v>
      </c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>
        <v>46072.0</v>
      </c>
      <c r="B68" s="10" t="s">
        <v>48</v>
      </c>
      <c r="C68" s="11"/>
      <c r="D68" s="11">
        <f>12.3*25*45000</f>
        <v>13837500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 t="s">
        <v>21</v>
      </c>
      <c r="C69" s="11">
        <v>1.38375E7</v>
      </c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 t="s">
        <v>8</v>
      </c>
      <c r="C70" s="11"/>
      <c r="D70" s="11">
        <v>15000.0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 t="s">
        <v>9</v>
      </c>
      <c r="C71" s="11"/>
      <c r="D71" s="11">
        <v>19000.0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 t="s">
        <v>18</v>
      </c>
      <c r="C72" s="11">
        <v>20000.0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>
        <v>46073.0</v>
      </c>
      <c r="B73" s="10" t="s">
        <v>8</v>
      </c>
      <c r="C73" s="11"/>
      <c r="D73" s="11">
        <v>15000.0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 t="s">
        <v>9</v>
      </c>
      <c r="C74" s="11"/>
      <c r="D74" s="11">
        <v>19000.0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 t="s">
        <v>53</v>
      </c>
      <c r="C75" s="11">
        <v>793000.0</v>
      </c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>
        <v>46074.0</v>
      </c>
      <c r="B76" s="10" t="s">
        <v>54</v>
      </c>
      <c r="C76" s="11"/>
      <c r="D76" s="11">
        <f>13000+16000</f>
        <v>29000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 t="s">
        <v>8</v>
      </c>
      <c r="C77" s="11"/>
      <c r="D77" s="11">
        <v>15000.0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 t="s">
        <v>9</v>
      </c>
      <c r="C78" s="11"/>
      <c r="D78" s="11">
        <v>19000.0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 t="s">
        <v>41</v>
      </c>
      <c r="C79" s="11"/>
      <c r="D79" s="11">
        <v>60000.0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 t="s">
        <v>55</v>
      </c>
      <c r="C80" s="11">
        <v>3000.0</v>
      </c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>
        <v>46076.0</v>
      </c>
      <c r="B81" s="10" t="s">
        <v>56</v>
      </c>
      <c r="C81" s="11"/>
      <c r="D81" s="11">
        <v>930000.0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 t="s">
        <v>21</v>
      </c>
      <c r="C82" s="11">
        <v>2700000.0</v>
      </c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 t="s">
        <v>57</v>
      </c>
      <c r="C83" s="11"/>
      <c r="D83" s="11">
        <v>190000.0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 t="s">
        <v>18</v>
      </c>
      <c r="C84" s="11">
        <v>20000.0</v>
      </c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 t="s">
        <v>58</v>
      </c>
      <c r="C85" s="11"/>
      <c r="D85" s="11">
        <v>45000.0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 t="s">
        <v>8</v>
      </c>
      <c r="C86" s="11"/>
      <c r="D86" s="11">
        <v>15000.0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 t="s">
        <v>9</v>
      </c>
      <c r="C87" s="11"/>
      <c r="D87" s="11">
        <v>19000.0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>
        <v>46077.0</v>
      </c>
      <c r="B88" s="10" t="s">
        <v>58</v>
      </c>
      <c r="C88" s="11"/>
      <c r="D88" s="11">
        <v>45000.0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 t="s">
        <v>8</v>
      </c>
      <c r="C89" s="11"/>
      <c r="D89" s="11">
        <v>15000.0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 t="s">
        <v>9</v>
      </c>
      <c r="C90" s="11"/>
      <c r="D90" s="11">
        <v>19000.0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>
        <v>46078.0</v>
      </c>
      <c r="B91" s="10" t="s">
        <v>28</v>
      </c>
      <c r="C91" s="11">
        <v>65000.0</v>
      </c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 t="s">
        <v>9</v>
      </c>
      <c r="C92" s="11"/>
      <c r="D92" s="11">
        <v>19000.0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>
        <v>46079.0</v>
      </c>
      <c r="B93" s="10" t="s">
        <v>59</v>
      </c>
      <c r="C93" s="11"/>
      <c r="D93" s="11">
        <f>99000+70000</f>
        <v>169000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 t="s">
        <v>60</v>
      </c>
      <c r="C94" s="11">
        <v>6.31597E7</v>
      </c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 t="s">
        <v>17</v>
      </c>
      <c r="C95" s="11"/>
      <c r="D95" s="11">
        <v>3.0E7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 t="s">
        <v>61</v>
      </c>
      <c r="C96" s="11"/>
      <c r="D96" s="11">
        <v>3.0E7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 t="s">
        <v>62</v>
      </c>
      <c r="C97" s="11"/>
      <c r="D97" s="11">
        <v>3240000.0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>
        <v>46079.0</v>
      </c>
      <c r="B98" s="10" t="s">
        <v>18</v>
      </c>
      <c r="C98" s="11">
        <v>20000.0</v>
      </c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 t="s">
        <v>63</v>
      </c>
      <c r="C99" s="11"/>
      <c r="D99" s="11">
        <v>7000.0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 t="s">
        <v>8</v>
      </c>
      <c r="C100" s="11"/>
      <c r="D100" s="11">
        <v>15000.0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 t="s">
        <v>9</v>
      </c>
      <c r="C101" s="11"/>
      <c r="D101" s="11">
        <v>19000.0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>
        <v>46080.0</v>
      </c>
      <c r="B102" s="10" t="s">
        <v>21</v>
      </c>
      <c r="C102" s="11">
        <v>7928100.0</v>
      </c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 t="s">
        <v>64</v>
      </c>
      <c r="C103" s="11"/>
      <c r="D103" s="11">
        <v>7005600.0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 t="s">
        <v>65</v>
      </c>
      <c r="C104" s="11"/>
      <c r="D104" s="11">
        <v>922500.0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 t="s">
        <v>21</v>
      </c>
      <c r="C105" s="11">
        <v>2000000.0</v>
      </c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 t="s">
        <v>66</v>
      </c>
      <c r="C106" s="11"/>
      <c r="D106" s="11">
        <v>15000.0</v>
      </c>
      <c r="E106" s="4" t="s">
        <v>67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 t="s">
        <v>18</v>
      </c>
      <c r="C107" s="11">
        <v>23600.0</v>
      </c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 t="s">
        <v>8</v>
      </c>
      <c r="C108" s="11"/>
      <c r="D108" s="11">
        <v>15000.0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 t="s">
        <v>9</v>
      </c>
      <c r="C109" s="11"/>
      <c r="D109" s="11">
        <v>19000.0</v>
      </c>
      <c r="E109" s="12">
        <v>46058.0</v>
      </c>
      <c r="F109" s="4">
        <v>8.0</v>
      </c>
      <c r="G109" s="4">
        <v>40000.0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 t="s">
        <v>68</v>
      </c>
      <c r="C110" s="11">
        <v>2500000.0</v>
      </c>
      <c r="D110" s="11"/>
      <c r="E110" s="4"/>
      <c r="F110" s="4">
        <v>14.0</v>
      </c>
      <c r="G110" s="4">
        <v>56000.0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>
        <v>46081.0</v>
      </c>
      <c r="B111" s="10" t="s">
        <v>21</v>
      </c>
      <c r="C111" s="11">
        <v>1000000.0</v>
      </c>
      <c r="D111" s="11"/>
      <c r="E111" s="4"/>
      <c r="F111" s="4">
        <v>38.65</v>
      </c>
      <c r="G111" s="4">
        <v>154000.0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 t="s">
        <v>8</v>
      </c>
      <c r="C112" s="11"/>
      <c r="D112" s="11">
        <v>15000.0</v>
      </c>
      <c r="E112" s="4"/>
      <c r="F112" s="4">
        <v>101.15</v>
      </c>
      <c r="G112" s="4">
        <v>485500.0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 t="s">
        <v>54</v>
      </c>
      <c r="C113" s="11"/>
      <c r="D113" s="11">
        <v>30000.0</v>
      </c>
      <c r="E113" s="4"/>
      <c r="F113" s="4">
        <v>50.2</v>
      </c>
      <c r="G113" s="4">
        <v>241000.0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 t="s">
        <v>9</v>
      </c>
      <c r="C114" s="11"/>
      <c r="D114" s="11">
        <v>19000.0</v>
      </c>
      <c r="E114" s="4"/>
      <c r="F114" s="4">
        <v>19.85</v>
      </c>
      <c r="G114" s="4">
        <v>99000.0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 t="s">
        <v>69</v>
      </c>
      <c r="C115" s="11">
        <v>50000.0</v>
      </c>
      <c r="D115" s="11"/>
      <c r="E115" s="4"/>
      <c r="F115" s="4">
        <v>44.35</v>
      </c>
      <c r="G115" s="4">
        <v>221000.0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>
        <v>46082.0</v>
      </c>
      <c r="B116" s="10" t="s">
        <v>68</v>
      </c>
      <c r="C116" s="11">
        <v>2.2E7</v>
      </c>
      <c r="D116" s="11"/>
      <c r="E116" s="4"/>
      <c r="F116" s="4">
        <v>194.2</v>
      </c>
      <c r="G116" s="4">
        <v>931000.0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 t="s">
        <v>61</v>
      </c>
      <c r="C117" s="11"/>
      <c r="D117" s="11">
        <v>2.0E7</v>
      </c>
      <c r="E117" s="4"/>
      <c r="F117" s="4">
        <v>15.25</v>
      </c>
      <c r="G117" s="4">
        <v>91500.0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 t="s">
        <v>62</v>
      </c>
      <c r="C118" s="11"/>
      <c r="D118" s="11">
        <v>2200000.0</v>
      </c>
      <c r="E118" s="4"/>
      <c r="F118" s="4">
        <v>17.65</v>
      </c>
      <c r="G118" s="4">
        <v>105900.0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 t="s">
        <v>70</v>
      </c>
      <c r="C119" s="11">
        <v>500000.0</v>
      </c>
      <c r="D119" s="11"/>
      <c r="E119" s="4"/>
      <c r="F119" s="4">
        <v>32.85</v>
      </c>
      <c r="G119" s="4">
        <v>197000.0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 t="s">
        <v>28</v>
      </c>
      <c r="C120" s="11">
        <v>125000.0</v>
      </c>
      <c r="D120" s="11"/>
      <c r="E120" s="4"/>
      <c r="F120" s="4">
        <v>6.2</v>
      </c>
      <c r="G120" s="4">
        <v>24300.0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 t="s">
        <v>28</v>
      </c>
      <c r="C121" s="11">
        <v>10000.0</v>
      </c>
      <c r="D121" s="11"/>
      <c r="E121" s="4"/>
      <c r="F121" s="4">
        <v>1.9</v>
      </c>
      <c r="G121" s="4">
        <v>9500.0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 t="s">
        <v>41</v>
      </c>
      <c r="C122" s="11"/>
      <c r="D122" s="11">
        <v>70000.0</v>
      </c>
      <c r="E122" s="4"/>
      <c r="F122" s="4">
        <v>60.8</v>
      </c>
      <c r="G122" s="4">
        <v>243000.0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 t="s">
        <v>71</v>
      </c>
      <c r="C123" s="11"/>
      <c r="D123" s="11">
        <f>15000*5</f>
        <v>75000</v>
      </c>
      <c r="E123" s="4"/>
      <c r="F123" s="4">
        <v>20.0</v>
      </c>
      <c r="G123" s="4">
        <v>100000.0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 t="s">
        <v>9</v>
      </c>
      <c r="C124" s="11"/>
      <c r="D124" s="11">
        <v>19000.0</v>
      </c>
      <c r="E124" s="4"/>
      <c r="F124" s="4">
        <v>15.8</v>
      </c>
      <c r="G124" s="4">
        <v>94800.0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 t="s">
        <v>72</v>
      </c>
      <c r="C125" s="11"/>
      <c r="D125" s="11">
        <v>6814450.0</v>
      </c>
      <c r="E125" s="4"/>
      <c r="F125" s="4">
        <v>92.18</v>
      </c>
      <c r="G125" s="4">
        <v>553000.0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 t="s">
        <v>73</v>
      </c>
      <c r="C126" s="11"/>
      <c r="D126" s="11">
        <v>1800000.0</v>
      </c>
      <c r="E126" s="4"/>
      <c r="F126" s="4">
        <v>152.35</v>
      </c>
      <c r="G126" s="4">
        <v>883000.0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>
        <f t="shared" ref="C127:D127" si="1">SUM(C3:C126)</f>
        <v>136151900</v>
      </c>
      <c r="D127" s="11">
        <f t="shared" si="1"/>
        <v>132998050</v>
      </c>
      <c r="E127" s="4"/>
      <c r="F127" s="4">
        <v>3.85</v>
      </c>
      <c r="G127" s="4">
        <v>23000.0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 t="s">
        <v>5</v>
      </c>
      <c r="C128" s="11">
        <f>C127-D127</f>
        <v>3153850</v>
      </c>
      <c r="D128" s="11"/>
      <c r="E128" s="4"/>
      <c r="F128" s="4">
        <v>19.35</v>
      </c>
      <c r="G128" s="4">
        <v>116000.0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>
        <v>16.2</v>
      </c>
      <c r="G129" s="4">
        <v>100200.0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>
        <v>22.25</v>
      </c>
      <c r="G130" s="4">
        <v>133000.0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>
        <v>73.95</v>
      </c>
      <c r="G131" s="4">
        <v>369000.0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>
        <v>18.35</v>
      </c>
      <c r="G132" s="4">
        <v>110000.0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>
        <v>281.6</v>
      </c>
      <c r="G133" s="4">
        <v>1408000.0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12">
        <v>46081.0</v>
      </c>
      <c r="F134" s="4">
        <v>5.15</v>
      </c>
      <c r="G134" s="4">
        <v>25750.0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>
        <f t="shared" ref="F135:G135" si="2">SUM(F109:F134)</f>
        <v>1326.08</v>
      </c>
      <c r="G135" s="4">
        <f t="shared" si="2"/>
        <v>6814450</v>
      </c>
      <c r="H135" s="4">
        <f>G135/F135</f>
        <v>5138.792531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 t="s">
        <v>41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>
        <v>46082.0</v>
      </c>
      <c r="B3" s="10" t="s">
        <v>5</v>
      </c>
      <c r="C3" s="11">
        <v>3153850.0</v>
      </c>
      <c r="D3" s="11"/>
      <c r="E3" s="4"/>
      <c r="F3" s="12">
        <v>46084.0</v>
      </c>
      <c r="G3" s="4">
        <f>17.8+17.06+4.2</f>
        <v>39.06</v>
      </c>
      <c r="H3" s="4">
        <v>3.76</v>
      </c>
      <c r="I3" s="12">
        <v>46084.0</v>
      </c>
      <c r="J3" s="4">
        <v>10000.0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>
        <v>46084.0</v>
      </c>
      <c r="B4" s="10" t="s">
        <v>74</v>
      </c>
      <c r="C4" s="11">
        <v>20000.0</v>
      </c>
      <c r="D4" s="11"/>
      <c r="E4" s="4"/>
      <c r="F4" s="12">
        <v>46085.0</v>
      </c>
      <c r="G4" s="4">
        <f>8.65+9.3+9.3+8.4-2.4</f>
        <v>33.25</v>
      </c>
      <c r="H4" s="4">
        <v>3.35</v>
      </c>
      <c r="I4" s="12">
        <v>46085.0</v>
      </c>
      <c r="J4" s="4">
        <v>10000.0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>
        <v>46084.0</v>
      </c>
      <c r="B5" s="10" t="s">
        <v>75</v>
      </c>
      <c r="C5" s="11">
        <v>6000.0</v>
      </c>
      <c r="D5" s="11"/>
      <c r="E5" s="4"/>
      <c r="F5" s="12">
        <v>46086.0</v>
      </c>
      <c r="G5" s="4">
        <f>9.34+9.08+9+9.28+8.44-3</f>
        <v>42.14</v>
      </c>
      <c r="H5" s="4">
        <f>4.06-0.6</f>
        <v>3.46</v>
      </c>
      <c r="I5" s="12">
        <v>46086.0</v>
      </c>
      <c r="J5" s="4">
        <v>10000.0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 t="s">
        <v>76</v>
      </c>
      <c r="C6" s="11"/>
      <c r="D6" s="11">
        <v>19000.0</v>
      </c>
      <c r="E6" s="4"/>
      <c r="F6" s="12">
        <v>46087.0</v>
      </c>
      <c r="G6" s="4">
        <f>8.6+8.76+8.8+8.88+8.46-0.6</f>
        <v>42.9</v>
      </c>
      <c r="H6" s="4">
        <v>4.1</v>
      </c>
      <c r="I6" s="12">
        <v>46087.0</v>
      </c>
      <c r="J6" s="4">
        <v>10000.0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 t="s">
        <v>77</v>
      </c>
      <c r="C7" s="11"/>
      <c r="D7" s="11">
        <v>15000.0</v>
      </c>
      <c r="E7" s="4"/>
      <c r="F7" s="12">
        <v>46088.0</v>
      </c>
      <c r="G7" s="4">
        <f>8.42+9.5+8.5+9.12-2.4</f>
        <v>33.14</v>
      </c>
      <c r="H7" s="4">
        <f>3.9-0.6</f>
        <v>3.3</v>
      </c>
      <c r="I7" s="12">
        <v>46088.0</v>
      </c>
      <c r="J7" s="4">
        <v>10000.0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 t="s">
        <v>78</v>
      </c>
      <c r="C8" s="11"/>
      <c r="D8" s="11">
        <v>15000.0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>
        <v>8000.0</v>
      </c>
      <c r="E9" s="4"/>
      <c r="F9" s="12">
        <v>46090.0</v>
      </c>
      <c r="G9" s="4">
        <f>8.24+8.76+8.22+9.08+5.86-3</f>
        <v>37.16</v>
      </c>
      <c r="H9" s="4">
        <f>4.84-0.6</f>
        <v>4.24</v>
      </c>
      <c r="I9" s="4"/>
      <c r="J9" s="4">
        <v>10000.0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>
        <v>46085.0</v>
      </c>
      <c r="B10" s="10" t="s">
        <v>79</v>
      </c>
      <c r="C10" s="11"/>
      <c r="D10" s="11">
        <v>19000.0</v>
      </c>
      <c r="E10" s="4"/>
      <c r="F10" s="12">
        <v>46091.0</v>
      </c>
      <c r="G10" s="4">
        <f>8.74+9.08+9.18+8.58+2.25-2.4</f>
        <v>35.43</v>
      </c>
      <c r="H10" s="4">
        <f>4.32-0.6</f>
        <v>3.72</v>
      </c>
      <c r="I10" s="4"/>
      <c r="J10" s="4">
        <v>10000.0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77</v>
      </c>
      <c r="C11" s="11"/>
      <c r="D11" s="11">
        <v>15000.0</v>
      </c>
      <c r="E11" s="4"/>
      <c r="F11" s="12">
        <v>46092.0</v>
      </c>
      <c r="G11" s="4">
        <f>9.12+8.9+9.38+8.7-2.4</f>
        <v>33.7</v>
      </c>
      <c r="H11" s="4">
        <f>4.4-0.6</f>
        <v>3.8</v>
      </c>
      <c r="I11" s="4"/>
      <c r="J11" s="4">
        <v>10000.0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 t="s">
        <v>78</v>
      </c>
      <c r="C12" s="11"/>
      <c r="D12" s="11">
        <v>15000.0</v>
      </c>
      <c r="E12" s="4"/>
      <c r="F12" s="12">
        <v>46093.0</v>
      </c>
      <c r="G12" s="4">
        <f>8.16+8.92+8.66+8.3-2.4</f>
        <v>31.64</v>
      </c>
      <c r="H12" s="4">
        <v>3.0</v>
      </c>
      <c r="I12" s="4"/>
      <c r="J12" s="4">
        <v>10000.0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>
        <v>8000.0</v>
      </c>
      <c r="E13" s="4"/>
      <c r="F13" s="12">
        <v>46094.0</v>
      </c>
      <c r="G13" s="4">
        <f>8.84+8.98+7.94+7.86-2.4</f>
        <v>31.22</v>
      </c>
      <c r="H13" s="4">
        <f>4.44-0.6</f>
        <v>3.84</v>
      </c>
      <c r="I13" s="4"/>
      <c r="J13" s="4">
        <v>10000.0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>
        <v>46086.0</v>
      </c>
      <c r="B14" s="10" t="s">
        <v>80</v>
      </c>
      <c r="C14" s="11">
        <v>8000.0</v>
      </c>
      <c r="D14" s="11"/>
      <c r="E14" s="4"/>
      <c r="F14" s="12">
        <v>46095.0</v>
      </c>
      <c r="G14" s="4">
        <f>8.02+9.1+8.32+8.46-2.4</f>
        <v>31.5</v>
      </c>
      <c r="H14" s="4">
        <v>3.6</v>
      </c>
      <c r="I14" s="4"/>
      <c r="J14" s="4">
        <v>10000.0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 t="s">
        <v>8</v>
      </c>
      <c r="C15" s="11"/>
      <c r="D15" s="11">
        <v>15000.0</v>
      </c>
      <c r="E15" s="4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 t="s">
        <v>78</v>
      </c>
      <c r="C16" s="11"/>
      <c r="D16" s="11">
        <v>15000.0</v>
      </c>
      <c r="E16" s="4"/>
      <c r="F16" s="12">
        <v>46097.0</v>
      </c>
      <c r="G16" s="4">
        <f>10.08+8.4+9.94+8.18-2.4</f>
        <v>34.2</v>
      </c>
      <c r="H16" s="4">
        <f>4.88-0.6</f>
        <v>4.28</v>
      </c>
      <c r="I16" s="4"/>
      <c r="J16" s="4">
        <v>10000.0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81</v>
      </c>
      <c r="C17" s="11"/>
      <c r="D17" s="11">
        <v>8000.0</v>
      </c>
      <c r="E17" s="4"/>
      <c r="F17" s="12">
        <v>46098.0</v>
      </c>
      <c r="G17" s="4">
        <f>8.64+6.78+8.46+8.8-2.4</f>
        <v>30.28</v>
      </c>
      <c r="H17" s="4">
        <f>5-0.6</f>
        <v>4.4</v>
      </c>
      <c r="I17" s="4"/>
      <c r="J17" s="4">
        <v>10000.0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 t="s">
        <v>9</v>
      </c>
      <c r="C18" s="11"/>
      <c r="D18" s="11">
        <v>19000.0</v>
      </c>
      <c r="E18" s="4"/>
      <c r="F18" s="12">
        <v>46099.0</v>
      </c>
      <c r="G18" s="4">
        <f>16.98+16.66+8.52-3</f>
        <v>39.16</v>
      </c>
      <c r="H18" s="4">
        <f>6.26-0.6</f>
        <v>5.66</v>
      </c>
      <c r="I18" s="4"/>
      <c r="J18" s="4">
        <v>10000.0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 t="s">
        <v>82</v>
      </c>
      <c r="C19" s="11">
        <v>2900000.0</v>
      </c>
      <c r="D19" s="11"/>
      <c r="E19" s="4"/>
      <c r="F19" s="12">
        <v>46100.0</v>
      </c>
      <c r="G19" s="4">
        <f>17.78+18.1+8.56-3</f>
        <v>41.44</v>
      </c>
      <c r="H19" s="4">
        <f>6-0.6</f>
        <v>5.4</v>
      </c>
      <c r="I19" s="4"/>
      <c r="J19" s="4">
        <v>10000.0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 t="s">
        <v>21</v>
      </c>
      <c r="C20" s="11">
        <v>3.0E7</v>
      </c>
      <c r="D20" s="11"/>
      <c r="E20" s="4"/>
      <c r="F20" s="12">
        <v>46101.0</v>
      </c>
      <c r="G20" s="4">
        <f>18.8+18.8+9.02-3</f>
        <v>43.62</v>
      </c>
      <c r="H20" s="4">
        <f>4.2</f>
        <v>4.2</v>
      </c>
      <c r="I20" s="4"/>
      <c r="J20" s="4">
        <v>10000.0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 t="s">
        <v>61</v>
      </c>
      <c r="C21" s="11"/>
      <c r="D21" s="11">
        <v>3.0E7</v>
      </c>
      <c r="E21" s="4" t="s">
        <v>83</v>
      </c>
      <c r="F21" s="12">
        <v>46102.0</v>
      </c>
      <c r="G21" s="4">
        <f>17.18+17.46+9.2-3</f>
        <v>40.84</v>
      </c>
      <c r="H21" s="4">
        <f>4.1-0.6</f>
        <v>3.5</v>
      </c>
      <c r="I21" s="4"/>
      <c r="J21" s="4">
        <v>10000.0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 t="s">
        <v>62</v>
      </c>
      <c r="C22" s="11"/>
      <c r="D22" s="11">
        <v>3340000.0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>
        <v>46087.0</v>
      </c>
      <c r="B23" s="10" t="s">
        <v>28</v>
      </c>
      <c r="C23" s="11">
        <v>32500.0</v>
      </c>
      <c r="D23" s="11"/>
      <c r="E23" s="4"/>
      <c r="F23" s="12">
        <v>46104.0</v>
      </c>
      <c r="G23" s="4">
        <f>17.7+18.1+5.02-3</f>
        <v>37.82</v>
      </c>
      <c r="H23" s="4">
        <f>3.9-0.6</f>
        <v>3.3</v>
      </c>
      <c r="I23" s="4"/>
      <c r="J23" s="4">
        <v>10000.0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 t="s">
        <v>8</v>
      </c>
      <c r="C24" s="11"/>
      <c r="D24" s="11">
        <v>15000.0</v>
      </c>
      <c r="E24" s="4"/>
      <c r="F24" s="12">
        <v>46105.0</v>
      </c>
      <c r="G24" s="4">
        <f>17.16+17.32+5.84-3</f>
        <v>37.32</v>
      </c>
      <c r="H24" s="4">
        <v>4.1</v>
      </c>
      <c r="I24" s="4"/>
      <c r="J24" s="4">
        <v>10000.0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 t="s">
        <v>78</v>
      </c>
      <c r="C25" s="11"/>
      <c r="D25" s="11">
        <v>15000.0</v>
      </c>
      <c r="E25" s="4"/>
      <c r="F25" s="12">
        <v>46106.0</v>
      </c>
      <c r="G25" s="4">
        <f>17.08+16.52+5.34-3</f>
        <v>35.94</v>
      </c>
      <c r="H25" s="4">
        <f>4.2-0.6</f>
        <v>3.6</v>
      </c>
      <c r="I25" s="4"/>
      <c r="J25" s="4">
        <v>10000.0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 t="s">
        <v>81</v>
      </c>
      <c r="C26" s="11"/>
      <c r="D26" s="11">
        <v>8000.0</v>
      </c>
      <c r="E26" s="4"/>
      <c r="F26" s="12">
        <v>46107.0</v>
      </c>
      <c r="G26" s="4">
        <f>17.18+17.56+8.76-3</f>
        <v>40.5</v>
      </c>
      <c r="H26" s="4">
        <f>4.1-0.6</f>
        <v>3.5</v>
      </c>
      <c r="I26" s="4"/>
      <c r="J26" s="4">
        <v>10000.0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 t="s">
        <v>9</v>
      </c>
      <c r="C27" s="11"/>
      <c r="D27" s="11">
        <v>19000.0</v>
      </c>
      <c r="E27" s="4"/>
      <c r="F27" s="12">
        <v>46108.0</v>
      </c>
      <c r="G27" s="4">
        <f>18+18.24+9.34-3</f>
        <v>42.58</v>
      </c>
      <c r="H27" s="4">
        <v>4.0</v>
      </c>
      <c r="I27" s="4"/>
      <c r="J27" s="4">
        <v>10000.0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>
        <v>46088.0</v>
      </c>
      <c r="B28" s="10" t="s">
        <v>8</v>
      </c>
      <c r="C28" s="11"/>
      <c r="D28" s="11">
        <v>15000.0</v>
      </c>
      <c r="E28" s="4"/>
      <c r="F28" s="12">
        <v>46109.0</v>
      </c>
      <c r="G28" s="4">
        <f>17.1+17+7.72-3</f>
        <v>38.82</v>
      </c>
      <c r="H28" s="4">
        <f>4.4-0.6</f>
        <v>3.8</v>
      </c>
      <c r="I28" s="4"/>
      <c r="J28" s="4">
        <v>10000.0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78</v>
      </c>
      <c r="C29" s="11"/>
      <c r="D29" s="11">
        <v>15000.0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 t="s">
        <v>9</v>
      </c>
      <c r="C30" s="11"/>
      <c r="D30" s="11">
        <v>19000.0</v>
      </c>
      <c r="E30" s="4"/>
      <c r="F30" s="12">
        <v>46111.0</v>
      </c>
      <c r="G30" s="4">
        <f>17.8+17.7+7.18-3</f>
        <v>39.68</v>
      </c>
      <c r="H30" s="4">
        <f>4.4-0.6</f>
        <v>3.8</v>
      </c>
      <c r="I30" s="4"/>
      <c r="J30" s="4">
        <v>10000.0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 t="s">
        <v>41</v>
      </c>
      <c r="C31" s="11"/>
      <c r="D31" s="11">
        <v>50000.0</v>
      </c>
      <c r="E31" s="4"/>
      <c r="F31" s="12">
        <v>46112.0</v>
      </c>
      <c r="G31" s="4">
        <f>17.24+17.72+8.9-3</f>
        <v>40.86</v>
      </c>
      <c r="H31" s="4">
        <v>3.1</v>
      </c>
      <c r="I31" s="4"/>
      <c r="J31" s="4">
        <v>10000.0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>
        <v>46090.0</v>
      </c>
      <c r="B32" s="10" t="s">
        <v>21</v>
      </c>
      <c r="C32" s="11">
        <v>2000000.0</v>
      </c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 t="s">
        <v>21</v>
      </c>
      <c r="C33" s="11">
        <v>1500000.0</v>
      </c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 t="s">
        <v>58</v>
      </c>
      <c r="C34" s="11"/>
      <c r="D34" s="11">
        <f>14800+12000+11200</f>
        <v>38000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 t="s">
        <v>8</v>
      </c>
      <c r="C35" s="11"/>
      <c r="D35" s="11">
        <v>15000.0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 t="s">
        <v>78</v>
      </c>
      <c r="C36" s="11"/>
      <c r="D36" s="11">
        <v>15000.0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 t="s">
        <v>81</v>
      </c>
      <c r="C37" s="11"/>
      <c r="D37" s="11">
        <v>8000.0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9</v>
      </c>
      <c r="C38" s="11"/>
      <c r="D38" s="11">
        <v>19000.0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>
        <v>46091.0</v>
      </c>
      <c r="B39" s="10" t="s">
        <v>58</v>
      </c>
      <c r="C39" s="11"/>
      <c r="D39" s="11">
        <f>15000*3</f>
        <v>45000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 t="s">
        <v>8</v>
      </c>
      <c r="C40" s="11"/>
      <c r="D40" s="11">
        <v>15000.0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 t="s">
        <v>78</v>
      </c>
      <c r="C41" s="11"/>
      <c r="D41" s="11">
        <v>15000.0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 t="s">
        <v>9</v>
      </c>
      <c r="C42" s="11"/>
      <c r="D42" s="11">
        <v>19000.0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 t="s">
        <v>84</v>
      </c>
      <c r="C43" s="11"/>
      <c r="D43" s="11">
        <v>34000.0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47</v>
      </c>
      <c r="C44" s="11">
        <v>100000.0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 t="s">
        <v>85</v>
      </c>
      <c r="C45" s="11">
        <v>1.76723E7</v>
      </c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 t="s">
        <v>86</v>
      </c>
      <c r="C46" s="11"/>
      <c r="D46" s="11">
        <v>1.6605E7</v>
      </c>
      <c r="E46" s="4" t="s">
        <v>87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>
        <v>46092.0</v>
      </c>
      <c r="B47" s="10" t="s">
        <v>37</v>
      </c>
      <c r="C47" s="11">
        <v>490000.0</v>
      </c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 t="s">
        <v>8</v>
      </c>
      <c r="C48" s="11"/>
      <c r="D48" s="11">
        <v>15000.0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 t="s">
        <v>78</v>
      </c>
      <c r="C49" s="11"/>
      <c r="D49" s="11">
        <v>15000.0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 t="s">
        <v>9</v>
      </c>
      <c r="C50" s="11"/>
      <c r="D50" s="11">
        <v>19000.0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>
        <v>46093.0</v>
      </c>
      <c r="B51" s="10" t="s">
        <v>8</v>
      </c>
      <c r="C51" s="11"/>
      <c r="D51" s="11">
        <v>15000.0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 t="s">
        <v>78</v>
      </c>
      <c r="C52" s="11"/>
      <c r="D52" s="11">
        <v>15000.0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 t="s">
        <v>9</v>
      </c>
      <c r="C53" s="11"/>
      <c r="D53" s="11">
        <v>19000.0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 t="s">
        <v>28</v>
      </c>
      <c r="C54" s="11">
        <v>20000.0</v>
      </c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>
        <v>46094.0</v>
      </c>
      <c r="B55" s="10" t="s">
        <v>8</v>
      </c>
      <c r="C55" s="11"/>
      <c r="D55" s="11">
        <v>15000.0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 t="s">
        <v>78</v>
      </c>
      <c r="C56" s="11"/>
      <c r="D56" s="11">
        <v>15000.0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 t="s">
        <v>9</v>
      </c>
      <c r="C57" s="11"/>
      <c r="D57" s="11">
        <v>19000.0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 t="s">
        <v>42</v>
      </c>
      <c r="C58" s="11">
        <v>12500.0</v>
      </c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>
        <v>46095.0</v>
      </c>
      <c r="B59" s="10" t="s">
        <v>8</v>
      </c>
      <c r="C59" s="11"/>
      <c r="D59" s="11">
        <v>15000.0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 t="s">
        <v>78</v>
      </c>
      <c r="C60" s="11"/>
      <c r="D60" s="11">
        <v>15000.0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 t="s">
        <v>9</v>
      </c>
      <c r="C61" s="11"/>
      <c r="D61" s="11">
        <v>19000.0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 t="s">
        <v>41</v>
      </c>
      <c r="C62" s="11"/>
      <c r="D62" s="11">
        <v>60000.0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 t="s">
        <v>28</v>
      </c>
      <c r="C63" s="11">
        <v>85000.0</v>
      </c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 t="s">
        <v>88</v>
      </c>
      <c r="C64" s="11"/>
      <c r="D64" s="11">
        <v>240000.0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 t="s">
        <v>89</v>
      </c>
      <c r="C65" s="11"/>
      <c r="D65" s="11">
        <v>15000.0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 t="s">
        <v>90</v>
      </c>
      <c r="C66" s="11">
        <v>825000.0</v>
      </c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 t="s">
        <v>91</v>
      </c>
      <c r="C67" s="11">
        <v>590000.0</v>
      </c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>
        <v>46097.0</v>
      </c>
      <c r="B68" s="10" t="s">
        <v>8</v>
      </c>
      <c r="C68" s="11"/>
      <c r="D68" s="11">
        <v>15000.0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 t="s">
        <v>78</v>
      </c>
      <c r="C69" s="11"/>
      <c r="D69" s="11">
        <v>15000.0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 t="s">
        <v>9</v>
      </c>
      <c r="C70" s="11"/>
      <c r="D70" s="11">
        <v>19000.0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 t="s">
        <v>92</v>
      </c>
      <c r="C71" s="11"/>
      <c r="D71" s="11">
        <v>10000.0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 t="s">
        <v>28</v>
      </c>
      <c r="C72" s="11">
        <f>215000+65000</f>
        <v>280000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 t="s">
        <v>93</v>
      </c>
      <c r="C73" s="11"/>
      <c r="D73" s="11">
        <f>12.3*20*45000+12.3*10*32000+12.3*4*15000</f>
        <v>15744000</v>
      </c>
      <c r="E73" s="4" t="s">
        <v>94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 t="s">
        <v>21</v>
      </c>
      <c r="C74" s="11">
        <v>1.5744E7</v>
      </c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 t="s">
        <v>95</v>
      </c>
      <c r="C75" s="11"/>
      <c r="D75" s="11">
        <v>287000.0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>
        <v>46098.0</v>
      </c>
      <c r="B76" s="10" t="s">
        <v>28</v>
      </c>
      <c r="C76" s="11">
        <v>145000.0</v>
      </c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 t="s">
        <v>8</v>
      </c>
      <c r="C77" s="11"/>
      <c r="D77" s="11">
        <v>15000.0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 t="s">
        <v>78</v>
      </c>
      <c r="C78" s="11"/>
      <c r="D78" s="11">
        <v>15000.0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 t="s">
        <v>9</v>
      </c>
      <c r="C79" s="11"/>
      <c r="D79" s="11">
        <v>19000.0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>
        <v>46099.0</v>
      </c>
      <c r="B80" s="10" t="s">
        <v>28</v>
      </c>
      <c r="C80" s="11">
        <v>154500.0</v>
      </c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 t="s">
        <v>8</v>
      </c>
      <c r="C81" s="11"/>
      <c r="D81" s="11">
        <v>15000.0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 t="s">
        <v>78</v>
      </c>
      <c r="C82" s="11"/>
      <c r="D82" s="11">
        <v>15000.0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 t="s">
        <v>9</v>
      </c>
      <c r="C83" s="11"/>
      <c r="D83" s="11">
        <v>19000.0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 t="s">
        <v>7</v>
      </c>
      <c r="C84" s="11"/>
      <c r="D84" s="11">
        <v>15000.0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 t="s">
        <v>18</v>
      </c>
      <c r="C85" s="11">
        <v>20000.0</v>
      </c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>
        <v>46100.0</v>
      </c>
      <c r="B86" s="10" t="s">
        <v>7</v>
      </c>
      <c r="C86" s="11"/>
      <c r="D86" s="11">
        <v>15000.0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 t="s">
        <v>8</v>
      </c>
      <c r="C87" s="11"/>
      <c r="D87" s="11">
        <v>15000.0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 t="s">
        <v>78</v>
      </c>
      <c r="C88" s="11"/>
      <c r="D88" s="11">
        <v>15000.0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 t="s">
        <v>9</v>
      </c>
      <c r="C89" s="11"/>
      <c r="D89" s="11">
        <v>19000.0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>
        <v>46101.0</v>
      </c>
      <c r="B90" s="10" t="s">
        <v>7</v>
      </c>
      <c r="C90" s="11"/>
      <c r="D90" s="11">
        <v>15000.0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 t="s">
        <v>8</v>
      </c>
      <c r="C91" s="11"/>
      <c r="D91" s="11">
        <v>15000.0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 t="s">
        <v>78</v>
      </c>
      <c r="C92" s="11"/>
      <c r="D92" s="11">
        <v>15000.0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 t="s">
        <v>9</v>
      </c>
      <c r="C93" s="11"/>
      <c r="D93" s="11">
        <v>19000.0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 t="s">
        <v>28</v>
      </c>
      <c r="C94" s="11">
        <v>20000.0</v>
      </c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>
        <v>46102.0</v>
      </c>
      <c r="B95" s="10" t="s">
        <v>7</v>
      </c>
      <c r="C95" s="11"/>
      <c r="D95" s="11">
        <v>15000.0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 t="s">
        <v>8</v>
      </c>
      <c r="C96" s="11"/>
      <c r="D96" s="11">
        <v>15000.0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 t="s">
        <v>78</v>
      </c>
      <c r="C97" s="11"/>
      <c r="D97" s="11">
        <v>15000.0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 t="s">
        <v>9</v>
      </c>
      <c r="C98" s="11"/>
      <c r="D98" s="11">
        <v>19000.0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 t="s">
        <v>28</v>
      </c>
      <c r="C99" s="11">
        <v>66500.0</v>
      </c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 t="s">
        <v>41</v>
      </c>
      <c r="C100" s="11"/>
      <c r="D100" s="11">
        <v>60000.0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>
        <v>46104.0</v>
      </c>
      <c r="B101" s="10" t="s">
        <v>7</v>
      </c>
      <c r="C101" s="11"/>
      <c r="D101" s="11">
        <v>15000.0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 t="s">
        <v>8</v>
      </c>
      <c r="C102" s="11"/>
      <c r="D102" s="11">
        <v>15000.0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 t="s">
        <v>78</v>
      </c>
      <c r="C103" s="11"/>
      <c r="D103" s="11">
        <v>15000.0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 t="s">
        <v>9</v>
      </c>
      <c r="C104" s="11"/>
      <c r="D104" s="11">
        <v>19000.0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 t="s">
        <v>28</v>
      </c>
      <c r="C105" s="11">
        <v>40000.0</v>
      </c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>
        <v>46105.0</v>
      </c>
      <c r="B106" s="10" t="s">
        <v>96</v>
      </c>
      <c r="C106" s="11">
        <v>2500000.0</v>
      </c>
      <c r="D106" s="11"/>
      <c r="E106" s="4" t="s">
        <v>97</v>
      </c>
      <c r="F106" s="4">
        <v>532.2</v>
      </c>
      <c r="G106" s="4">
        <v>3319300.0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 t="s">
        <v>7</v>
      </c>
      <c r="C107" s="11"/>
      <c r="D107" s="11">
        <v>15000.0</v>
      </c>
      <c r="E107" s="4"/>
      <c r="F107" s="4">
        <v>18.6</v>
      </c>
      <c r="G107" s="4">
        <v>111600.0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 t="s">
        <v>8</v>
      </c>
      <c r="C108" s="11"/>
      <c r="D108" s="11">
        <v>15000.0</v>
      </c>
      <c r="E108" s="4"/>
      <c r="F108" s="4">
        <v>93.2</v>
      </c>
      <c r="G108" s="4">
        <v>559200.0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 t="s">
        <v>78</v>
      </c>
      <c r="C109" s="11"/>
      <c r="D109" s="11">
        <v>15000.0</v>
      </c>
      <c r="E109" s="4"/>
      <c r="F109" s="4">
        <v>76.8</v>
      </c>
      <c r="G109" s="4">
        <v>460800.0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 t="s">
        <v>9</v>
      </c>
      <c r="C110" s="11"/>
      <c r="D110" s="11">
        <v>19000.0</v>
      </c>
      <c r="E110" s="4"/>
      <c r="F110" s="4">
        <v>13.65</v>
      </c>
      <c r="G110" s="4">
        <v>81900.0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 t="s">
        <v>36</v>
      </c>
      <c r="C111" s="11"/>
      <c r="D111" s="11">
        <v>5000.0</v>
      </c>
      <c r="E111" s="4"/>
      <c r="F111" s="4">
        <v>32.7</v>
      </c>
      <c r="G111" s="4">
        <v>196000.0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>
        <v>46106.0</v>
      </c>
      <c r="B112" s="10" t="s">
        <v>80</v>
      </c>
      <c r="C112" s="11">
        <v>8000.0</v>
      </c>
      <c r="D112" s="11"/>
      <c r="E112" s="4"/>
      <c r="F112" s="4">
        <v>35.95</v>
      </c>
      <c r="G112" s="4">
        <v>179000.0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 t="s">
        <v>7</v>
      </c>
      <c r="C113" s="11"/>
      <c r="D113" s="11">
        <v>15000.0</v>
      </c>
      <c r="E113" s="4"/>
      <c r="F113" s="4">
        <v>82.55</v>
      </c>
      <c r="G113" s="4">
        <v>454000.0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 t="s">
        <v>8</v>
      </c>
      <c r="C114" s="11"/>
      <c r="D114" s="11">
        <v>15000.0</v>
      </c>
      <c r="E114" s="4"/>
      <c r="F114" s="4">
        <v>6.0</v>
      </c>
      <c r="G114" s="4">
        <v>36000.0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 t="s">
        <v>78</v>
      </c>
      <c r="C115" s="11"/>
      <c r="D115" s="11">
        <v>15000.0</v>
      </c>
      <c r="E115" s="4"/>
      <c r="F115" s="4">
        <v>10.75</v>
      </c>
      <c r="G115" s="4">
        <v>64500.0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 t="s">
        <v>9</v>
      </c>
      <c r="C116" s="11"/>
      <c r="D116" s="11">
        <v>19000.0</v>
      </c>
      <c r="E116" s="4"/>
      <c r="F116" s="4">
        <v>67.9</v>
      </c>
      <c r="G116" s="4">
        <v>407000.0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 t="s">
        <v>98</v>
      </c>
      <c r="C117" s="11"/>
      <c r="D117" s="11">
        <v>5000.0</v>
      </c>
      <c r="E117" s="4"/>
      <c r="F117" s="4">
        <v>126.0</v>
      </c>
      <c r="G117" s="4">
        <v>756000.0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>
        <v>46107.0</v>
      </c>
      <c r="B118" s="10" t="s">
        <v>7</v>
      </c>
      <c r="C118" s="11"/>
      <c r="D118" s="11">
        <v>15000.0</v>
      </c>
      <c r="E118" s="4"/>
      <c r="F118" s="4">
        <v>13.6</v>
      </c>
      <c r="G118" s="4">
        <v>54000.0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 t="s">
        <v>8</v>
      </c>
      <c r="C119" s="11"/>
      <c r="D119" s="11">
        <v>15000.0</v>
      </c>
      <c r="E119" s="4"/>
      <c r="F119" s="4">
        <v>36.85</v>
      </c>
      <c r="G119" s="4">
        <v>221000.0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 t="s">
        <v>78</v>
      </c>
      <c r="C120" s="11"/>
      <c r="D120" s="11">
        <v>15000.0</v>
      </c>
      <c r="E120" s="4"/>
      <c r="F120" s="4">
        <v>25.3</v>
      </c>
      <c r="G120" s="4">
        <v>139000.0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 t="s">
        <v>28</v>
      </c>
      <c r="C121" s="11">
        <v>161000.0</v>
      </c>
      <c r="D121" s="11"/>
      <c r="E121" s="4"/>
      <c r="F121" s="4">
        <v>7.3</v>
      </c>
      <c r="G121" s="4">
        <v>43800.0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>
        <v>46108.0</v>
      </c>
      <c r="B122" s="10" t="s">
        <v>21</v>
      </c>
      <c r="C122" s="11">
        <v>2000000.0</v>
      </c>
      <c r="D122" s="11"/>
      <c r="E122" s="4"/>
      <c r="F122" s="4">
        <v>21.45</v>
      </c>
      <c r="G122" s="4">
        <v>128000.0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 t="s">
        <v>28</v>
      </c>
      <c r="C123" s="11">
        <v>155000.0</v>
      </c>
      <c r="D123" s="11"/>
      <c r="E123" s="4"/>
      <c r="F123" s="4">
        <v>3.9</v>
      </c>
      <c r="G123" s="4">
        <v>23000.0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 t="s">
        <v>7</v>
      </c>
      <c r="C124" s="11"/>
      <c r="D124" s="11">
        <v>15000.0</v>
      </c>
      <c r="E124" s="4"/>
      <c r="F124" s="4">
        <v>31.3</v>
      </c>
      <c r="G124" s="4">
        <v>187800.0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 t="s">
        <v>8</v>
      </c>
      <c r="C125" s="11"/>
      <c r="D125" s="11">
        <v>15000.0</v>
      </c>
      <c r="E125" s="4"/>
      <c r="F125" s="4">
        <v>2.9</v>
      </c>
      <c r="G125" s="4">
        <v>15950.0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 t="s">
        <v>78</v>
      </c>
      <c r="C126" s="11"/>
      <c r="D126" s="11">
        <v>15000.0</v>
      </c>
      <c r="E126" s="4"/>
      <c r="F126" s="4">
        <v>7.8</v>
      </c>
      <c r="G126" s="4">
        <v>46800.0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 t="s">
        <v>9</v>
      </c>
      <c r="C127" s="11"/>
      <c r="D127" s="11">
        <v>19000.0</v>
      </c>
      <c r="E127" s="4"/>
      <c r="F127" s="4">
        <v>6.95</v>
      </c>
      <c r="G127" s="4">
        <v>34750.0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>
        <v>46109.0</v>
      </c>
      <c r="B128" s="10" t="s">
        <v>28</v>
      </c>
      <c r="C128" s="11">
        <v>25000.0</v>
      </c>
      <c r="D128" s="11"/>
      <c r="E128" s="4"/>
      <c r="F128" s="4">
        <v>24.9</v>
      </c>
      <c r="G128" s="4">
        <v>149000.0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 t="s">
        <v>7</v>
      </c>
      <c r="C129" s="11"/>
      <c r="D129" s="11">
        <v>15000.0</v>
      </c>
      <c r="E129" s="4"/>
      <c r="F129" s="4">
        <v>8.95</v>
      </c>
      <c r="G129" s="4">
        <v>53700.0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 t="s">
        <v>8</v>
      </c>
      <c r="C130" s="11"/>
      <c r="D130" s="11">
        <v>15000.0</v>
      </c>
      <c r="E130" s="4"/>
      <c r="F130" s="4">
        <v>10.4</v>
      </c>
      <c r="G130" s="4">
        <v>62000.0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 t="s">
        <v>78</v>
      </c>
      <c r="C131" s="11"/>
      <c r="D131" s="11">
        <v>15000.0</v>
      </c>
      <c r="E131" s="4"/>
      <c r="F131" s="4">
        <v>127.14</v>
      </c>
      <c r="G131" s="4">
        <v>635000.0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 t="s">
        <v>9</v>
      </c>
      <c r="C132" s="11"/>
      <c r="D132" s="11">
        <v>19000.0</v>
      </c>
      <c r="E132" s="4"/>
      <c r="F132" s="4">
        <v>18.15</v>
      </c>
      <c r="G132" s="4">
        <v>108900.0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 t="s">
        <v>41</v>
      </c>
      <c r="C133" s="11"/>
      <c r="D133" s="11">
        <v>60000.0</v>
      </c>
      <c r="E133" s="4"/>
      <c r="F133" s="4">
        <v>11.6</v>
      </c>
      <c r="G133" s="4">
        <v>69600.0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>
        <v>46111.0</v>
      </c>
      <c r="B134" s="10" t="s">
        <v>28</v>
      </c>
      <c r="C134" s="11">
        <v>121500.0</v>
      </c>
      <c r="D134" s="11"/>
      <c r="E134" s="4"/>
      <c r="F134" s="4">
        <v>71.65</v>
      </c>
      <c r="G134" s="4">
        <v>429900.0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 t="s">
        <v>28</v>
      </c>
      <c r="C135" s="11">
        <v>100000.0</v>
      </c>
      <c r="D135" s="11"/>
      <c r="E135" s="4"/>
      <c r="F135" s="4">
        <v>38.0</v>
      </c>
      <c r="G135" s="4">
        <v>228000.0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 t="s">
        <v>7</v>
      </c>
      <c r="C136" s="11"/>
      <c r="D136" s="11">
        <v>15000.0</v>
      </c>
      <c r="E136" s="4"/>
      <c r="F136" s="4">
        <v>17.5</v>
      </c>
      <c r="G136" s="4">
        <v>105000.0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 t="s">
        <v>8</v>
      </c>
      <c r="C137" s="11"/>
      <c r="D137" s="11">
        <v>15000.0</v>
      </c>
      <c r="E137" s="4"/>
      <c r="F137" s="4">
        <v>247.25</v>
      </c>
      <c r="G137" s="4">
        <v>1607000.0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 t="s">
        <v>78</v>
      </c>
      <c r="C138" s="11"/>
      <c r="D138" s="11">
        <v>15000.0</v>
      </c>
      <c r="E138" s="4"/>
      <c r="F138" s="4">
        <v>17.15</v>
      </c>
      <c r="G138" s="4">
        <v>85750.0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 t="s">
        <v>9</v>
      </c>
      <c r="C139" s="11"/>
      <c r="D139" s="11">
        <v>19000.0</v>
      </c>
      <c r="E139" s="4"/>
      <c r="F139" s="4">
        <v>19.95</v>
      </c>
      <c r="G139" s="4">
        <v>99750.0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 t="s">
        <v>69</v>
      </c>
      <c r="C140" s="11">
        <v>50000.0</v>
      </c>
      <c r="D140" s="11"/>
      <c r="E140" s="4"/>
      <c r="F140" s="4">
        <v>8.25</v>
      </c>
      <c r="G140" s="4">
        <v>33000.0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>
        <v>46112.0</v>
      </c>
      <c r="B141" s="10" t="s">
        <v>7</v>
      </c>
      <c r="C141" s="11"/>
      <c r="D141" s="11">
        <v>15000.0</v>
      </c>
      <c r="E141" s="4"/>
      <c r="F141" s="4">
        <v>4.8</v>
      </c>
      <c r="G141" s="4">
        <v>28800.0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 t="s">
        <v>21</v>
      </c>
      <c r="C142" s="11">
        <v>3319300.0</v>
      </c>
      <c r="D142" s="11"/>
      <c r="E142" s="4"/>
      <c r="F142" s="4">
        <v>7.5</v>
      </c>
      <c r="G142" s="4">
        <v>45000.0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 t="s">
        <v>99</v>
      </c>
      <c r="C143" s="11"/>
      <c r="D143" s="11">
        <v>30000.0</v>
      </c>
      <c r="E143" s="4"/>
      <c r="F143" s="4">
        <v>10.3</v>
      </c>
      <c r="G143" s="4">
        <v>63000.0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 t="s">
        <v>9</v>
      </c>
      <c r="C144" s="11"/>
      <c r="D144" s="11">
        <v>20000.0</v>
      </c>
      <c r="E144" s="4"/>
      <c r="F144" s="4">
        <v>116.25</v>
      </c>
      <c r="G144" s="4">
        <v>790000.0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 t="s">
        <v>100</v>
      </c>
      <c r="C145" s="11"/>
      <c r="D145" s="11">
        <v>1744000.0</v>
      </c>
      <c r="E145" s="4"/>
      <c r="F145" s="4">
        <v>20.2</v>
      </c>
      <c r="G145" s="4">
        <v>131000.0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 t="s">
        <v>101</v>
      </c>
      <c r="C146" s="11"/>
      <c r="D146" s="11">
        <v>1.27243E7</v>
      </c>
      <c r="E146" s="4" t="s">
        <v>83</v>
      </c>
      <c r="F146" s="4">
        <v>17.75</v>
      </c>
      <c r="G146" s="4">
        <v>106500.0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>
        <v>46089.0</v>
      </c>
      <c r="B147" s="10" t="s">
        <v>28</v>
      </c>
      <c r="C147" s="11">
        <f>32500+81500</f>
        <v>114000</v>
      </c>
      <c r="D147" s="11"/>
      <c r="E147" s="4"/>
      <c r="F147" s="4">
        <v>48.45</v>
      </c>
      <c r="G147" s="4">
        <v>314000.0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>
        <f t="shared" ref="C148:D148" si="1">SUM(C3:C147)</f>
        <v>84438950</v>
      </c>
      <c r="D148" s="11">
        <f t="shared" si="1"/>
        <v>82493300</v>
      </c>
      <c r="E148" s="4"/>
      <c r="F148" s="4">
        <v>9.35</v>
      </c>
      <c r="G148" s="4">
        <v>60000.0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 t="s">
        <v>5</v>
      </c>
      <c r="C149" s="11">
        <f>C148-D148</f>
        <v>1945650</v>
      </c>
      <c r="D149" s="11"/>
      <c r="E149" s="12">
        <v>46113.0</v>
      </c>
      <c r="F149" s="4">
        <f t="shared" ref="F149:G149" si="2">SUM(F106:F148)</f>
        <v>2109.14</v>
      </c>
      <c r="G149" s="4">
        <f t="shared" si="2"/>
        <v>12724300</v>
      </c>
      <c r="H149" s="4">
        <f>G149/F149</f>
        <v>6032.932854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 t="s">
        <v>41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>
        <v>46113.0</v>
      </c>
      <c r="B3" s="10" t="s">
        <v>5</v>
      </c>
      <c r="C3" s="11">
        <v>1945650.0</v>
      </c>
      <c r="D3" s="11"/>
      <c r="E3" s="4"/>
      <c r="F3" s="12">
        <v>46113.0</v>
      </c>
      <c r="G3" s="4">
        <f>17.94+8.86+18-3</f>
        <v>41.8</v>
      </c>
      <c r="H3" s="4">
        <v>2.9</v>
      </c>
      <c r="I3" s="4">
        <v>10000.0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>
        <f>C3-1610000</f>
        <v>335650</v>
      </c>
      <c r="E4" s="4"/>
      <c r="F4" s="12">
        <v>46114.0</v>
      </c>
      <c r="G4" s="4">
        <f>18.2+18+9.08-3</f>
        <v>42.28</v>
      </c>
      <c r="H4" s="4">
        <f>3.2</f>
        <v>3.2</v>
      </c>
      <c r="I4" s="4">
        <v>10000.0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 t="s">
        <v>7</v>
      </c>
      <c r="C5" s="11"/>
      <c r="D5" s="11">
        <v>15000.0</v>
      </c>
      <c r="E5" s="4"/>
      <c r="F5" s="12">
        <v>46115.0</v>
      </c>
      <c r="G5" s="4">
        <f>16.86+17.84+8.3-3</f>
        <v>40</v>
      </c>
      <c r="H5" s="4">
        <f>3.1</f>
        <v>3.1</v>
      </c>
      <c r="I5" s="4">
        <v>10000.0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 t="s">
        <v>8</v>
      </c>
      <c r="C6" s="11"/>
      <c r="D6" s="11">
        <v>15000.0</v>
      </c>
      <c r="E6" s="4"/>
      <c r="F6" s="12">
        <v>46116.0</v>
      </c>
      <c r="G6" s="4">
        <f>17+17.5+8.08-3</f>
        <v>39.58</v>
      </c>
      <c r="H6" s="4">
        <v>3.0</v>
      </c>
      <c r="I6" s="4">
        <v>10000.0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 t="s">
        <v>102</v>
      </c>
      <c r="C7" s="11"/>
      <c r="D7" s="11">
        <v>15000.0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 t="s">
        <v>9</v>
      </c>
      <c r="C8" s="11"/>
      <c r="D8" s="11">
        <v>20000.0</v>
      </c>
      <c r="E8" s="4"/>
      <c r="F8" s="12">
        <v>46118.0</v>
      </c>
      <c r="G8" s="4">
        <f>18.88+18.44+9.76-3</f>
        <v>44.08</v>
      </c>
      <c r="H8" s="4">
        <v>3.4</v>
      </c>
      <c r="I8" s="4">
        <v>10000.0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>
        <v>46114.0</v>
      </c>
      <c r="B9" s="10" t="s">
        <v>7</v>
      </c>
      <c r="C9" s="11"/>
      <c r="D9" s="11">
        <v>15000.0</v>
      </c>
      <c r="E9" s="4"/>
      <c r="F9" s="12">
        <v>46119.0</v>
      </c>
      <c r="G9" s="4">
        <f>16.56+16.84+8.56-3</f>
        <v>38.96</v>
      </c>
      <c r="H9" s="4">
        <f>4.04-0.6</f>
        <v>3.44</v>
      </c>
      <c r="I9" s="4">
        <v>10000.0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 t="s">
        <v>8</v>
      </c>
      <c r="C10" s="11"/>
      <c r="D10" s="11">
        <v>15000.0</v>
      </c>
      <c r="E10" s="4"/>
      <c r="F10" s="12">
        <v>46120.0</v>
      </c>
      <c r="G10" s="4">
        <f>17.48+17.46+8.76-3</f>
        <v>40.7</v>
      </c>
      <c r="H10" s="4">
        <v>3.08</v>
      </c>
      <c r="I10" s="4">
        <v>10000.0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102</v>
      </c>
      <c r="C11" s="11"/>
      <c r="D11" s="11">
        <v>15000.0</v>
      </c>
      <c r="E11" s="4"/>
      <c r="F11" s="12">
        <v>46121.0</v>
      </c>
      <c r="G11" s="4">
        <f>16.58+15.28+7.34-3</f>
        <v>36.2</v>
      </c>
      <c r="H11" s="4">
        <f>4.14-0.6</f>
        <v>3.54</v>
      </c>
      <c r="I11" s="4">
        <v>10000.0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 t="s">
        <v>9</v>
      </c>
      <c r="C12" s="11"/>
      <c r="D12" s="11">
        <v>20000.0</v>
      </c>
      <c r="E12" s="4"/>
      <c r="F12" s="12">
        <v>46122.0</v>
      </c>
      <c r="G12" s="4">
        <f>12.35+16.85-2.4</f>
        <v>26.8</v>
      </c>
      <c r="H12" s="4">
        <f>3.45-0.6</f>
        <v>2.85</v>
      </c>
      <c r="I12" s="4">
        <v>10000.0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>
        <v>46115.0</v>
      </c>
      <c r="B13" s="10" t="s">
        <v>103</v>
      </c>
      <c r="C13" s="11">
        <v>1500000.0</v>
      </c>
      <c r="D13" s="11"/>
      <c r="E13" s="4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 t="s">
        <v>104</v>
      </c>
      <c r="C14" s="11"/>
      <c r="D14" s="11">
        <v>340000.0</v>
      </c>
      <c r="E14" s="4"/>
      <c r="F14" s="12">
        <v>46131.0</v>
      </c>
      <c r="G14" s="4">
        <v>20.0</v>
      </c>
      <c r="H14" s="4">
        <v>2.75</v>
      </c>
      <c r="I14" s="4">
        <v>10000.0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 t="s">
        <v>7</v>
      </c>
      <c r="C15" s="11"/>
      <c r="D15" s="11">
        <v>15000.0</v>
      </c>
      <c r="E15" s="4"/>
      <c r="F15" s="12">
        <v>46132.0</v>
      </c>
      <c r="G15" s="4">
        <f>17.66+18.52+18.3-3.6</f>
        <v>50.88</v>
      </c>
      <c r="H15" s="4">
        <v>3.9</v>
      </c>
      <c r="I15" s="4">
        <v>10000.0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 t="s">
        <v>8</v>
      </c>
      <c r="C16" s="11"/>
      <c r="D16" s="11">
        <v>15000.0</v>
      </c>
      <c r="E16" s="4"/>
      <c r="F16" s="12">
        <v>46133.0</v>
      </c>
      <c r="G16" s="4">
        <f>18.82+18.7+9-3</f>
        <v>43.52</v>
      </c>
      <c r="H16" s="4">
        <f>4.1-0.6</f>
        <v>3.5</v>
      </c>
      <c r="I16" s="4">
        <v>10000.0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102</v>
      </c>
      <c r="C17" s="11"/>
      <c r="D17" s="11">
        <v>15000.0</v>
      </c>
      <c r="E17" s="4"/>
      <c r="F17" s="12">
        <v>46134.0</v>
      </c>
      <c r="G17" s="4">
        <f>18.24+17.68+9.06+8.44-3.6</f>
        <v>49.82</v>
      </c>
      <c r="H17" s="4">
        <f>5-0.6</f>
        <v>4.4</v>
      </c>
      <c r="I17" s="4">
        <v>10000.0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>
        <v>46116.0</v>
      </c>
      <c r="B18" s="10" t="s">
        <v>103</v>
      </c>
      <c r="C18" s="11">
        <v>2500000.0</v>
      </c>
      <c r="D18" s="11"/>
      <c r="E18" s="4"/>
      <c r="F18" s="12">
        <v>46135.0</v>
      </c>
      <c r="G18" s="4">
        <f>18.4+19.24+10.9-3.15</f>
        <v>45.39</v>
      </c>
      <c r="H18" s="4">
        <v>3.4</v>
      </c>
      <c r="I18" s="4">
        <v>10000.0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 t="s">
        <v>28</v>
      </c>
      <c r="C19" s="11">
        <v>450000.0</v>
      </c>
      <c r="D19" s="11"/>
      <c r="E19" s="4"/>
      <c r="F19" s="12">
        <v>46136.0</v>
      </c>
      <c r="G19" s="4">
        <f>8.82+8.94+8.64+8.44+8.32-3</f>
        <v>40.16</v>
      </c>
      <c r="H19" s="4">
        <f>4.14-0.6</f>
        <v>3.54</v>
      </c>
      <c r="I19" s="4">
        <v>10000.0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 t="s">
        <v>7</v>
      </c>
      <c r="C20" s="11"/>
      <c r="D20" s="11">
        <v>15000.0</v>
      </c>
      <c r="E20" s="4"/>
      <c r="F20" s="12">
        <v>46137.0</v>
      </c>
      <c r="G20" s="4">
        <f>18.42+18.86+9.06-3</f>
        <v>43.34</v>
      </c>
      <c r="H20" s="4">
        <f>3.36-0.6</f>
        <v>2.76</v>
      </c>
      <c r="I20" s="4">
        <v>10000.0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 t="s">
        <v>8</v>
      </c>
      <c r="C21" s="11"/>
      <c r="D21" s="11">
        <v>15000.0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 t="s">
        <v>102</v>
      </c>
      <c r="C22" s="11"/>
      <c r="D22" s="11">
        <v>15000.0</v>
      </c>
      <c r="E22" s="4"/>
      <c r="F22" s="12">
        <v>46139.0</v>
      </c>
      <c r="G22" s="4">
        <f>7.78+8.44+17.34-2.4</f>
        <v>31.16</v>
      </c>
      <c r="H22" s="4">
        <f>2.78-0.35</f>
        <v>2.43</v>
      </c>
      <c r="I22" s="4">
        <v>10000.0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 t="s">
        <v>9</v>
      </c>
      <c r="C23" s="11"/>
      <c r="D23" s="11">
        <v>20000.0</v>
      </c>
      <c r="E23" s="4"/>
      <c r="F23" s="12">
        <v>46140.0</v>
      </c>
      <c r="G23" s="4">
        <f>9.32+8.62+4.44-1.8</f>
        <v>20.58</v>
      </c>
      <c r="H23" s="4">
        <f>1.6-0.35</f>
        <v>1.25</v>
      </c>
      <c r="I23" s="4">
        <v>10000.0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 t="s">
        <v>41</v>
      </c>
      <c r="C24" s="11"/>
      <c r="D24" s="11">
        <v>60000.0</v>
      </c>
      <c r="E24" s="4"/>
      <c r="F24" s="12">
        <v>46141.0</v>
      </c>
      <c r="G24" s="4">
        <f>8.58+8.7+9.2+7.96-2.4</f>
        <v>32.04</v>
      </c>
      <c r="H24" s="4">
        <v>2.1</v>
      </c>
      <c r="I24" s="4">
        <v>10000.0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>
        <v>46118.0</v>
      </c>
      <c r="B25" s="10" t="s">
        <v>28</v>
      </c>
      <c r="C25" s="11">
        <v>20000.0</v>
      </c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 t="s">
        <v>36</v>
      </c>
      <c r="C26" s="11"/>
      <c r="D26" s="11">
        <v>5000.0</v>
      </c>
      <c r="E26" s="4"/>
      <c r="F26" s="12">
        <v>46142.0</v>
      </c>
      <c r="G26" s="4">
        <f>16.5+17.6-2.4</f>
        <v>31.7</v>
      </c>
      <c r="H26" s="4">
        <f>3.3-0.6</f>
        <v>2.7</v>
      </c>
      <c r="I26" s="4">
        <v>10000.0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 t="s">
        <v>7</v>
      </c>
      <c r="C27" s="11"/>
      <c r="D27" s="11">
        <v>15000.0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 t="s">
        <v>8</v>
      </c>
      <c r="C28" s="11"/>
      <c r="D28" s="11">
        <v>15000.0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102</v>
      </c>
      <c r="C29" s="11"/>
      <c r="D29" s="11">
        <v>15000.0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 t="s">
        <v>9</v>
      </c>
      <c r="C30" s="11"/>
      <c r="D30" s="11">
        <v>20000.0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>
        <v>46119.0</v>
      </c>
      <c r="B31" s="10" t="s">
        <v>103</v>
      </c>
      <c r="C31" s="11">
        <v>1200000.0</v>
      </c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 t="s">
        <v>7</v>
      </c>
      <c r="C32" s="11"/>
      <c r="D32" s="11">
        <v>15000.0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 t="s">
        <v>8</v>
      </c>
      <c r="C33" s="11"/>
      <c r="D33" s="11">
        <v>15000.0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 t="s">
        <v>102</v>
      </c>
      <c r="C34" s="11"/>
      <c r="D34" s="11">
        <v>15000.0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 t="s">
        <v>9</v>
      </c>
      <c r="C35" s="11"/>
      <c r="D35" s="11">
        <v>20000.0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>
        <v>46120.0</v>
      </c>
      <c r="B36" s="10" t="s">
        <v>7</v>
      </c>
      <c r="C36" s="11"/>
      <c r="D36" s="11">
        <v>15000.0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 t="s">
        <v>8</v>
      </c>
      <c r="C37" s="11"/>
      <c r="D37" s="11">
        <v>15000.0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102</v>
      </c>
      <c r="C38" s="11"/>
      <c r="D38" s="11">
        <v>15000.0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 t="s">
        <v>9</v>
      </c>
      <c r="C39" s="11"/>
      <c r="D39" s="11">
        <v>20000.0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 t="s">
        <v>28</v>
      </c>
      <c r="C40" s="11">
        <v>15600.0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 t="s">
        <v>105</v>
      </c>
      <c r="C41" s="11">
        <v>50000.0</v>
      </c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 t="s">
        <v>104</v>
      </c>
      <c r="C42" s="11"/>
      <c r="D42" s="11">
        <v>180000.0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>
        <v>46121.0</v>
      </c>
      <c r="B43" s="10" t="s">
        <v>103</v>
      </c>
      <c r="C43" s="11">
        <v>6.1E7</v>
      </c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106</v>
      </c>
      <c r="C44" s="11"/>
      <c r="D44" s="11">
        <v>5.5E7</v>
      </c>
      <c r="E44" s="4" t="s">
        <v>83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 t="s">
        <v>62</v>
      </c>
      <c r="C45" s="11"/>
      <c r="D45" s="11">
        <v>6050000.0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 t="s">
        <v>103</v>
      </c>
      <c r="C46" s="11">
        <v>2000000.0</v>
      </c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 t="s">
        <v>7</v>
      </c>
      <c r="C47" s="11"/>
      <c r="D47" s="11">
        <v>15000.0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 t="s">
        <v>8</v>
      </c>
      <c r="C48" s="11"/>
      <c r="D48" s="11">
        <v>15000.0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 t="s">
        <v>102</v>
      </c>
      <c r="C49" s="11"/>
      <c r="D49" s="11">
        <v>15000.0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 t="s">
        <v>9</v>
      </c>
      <c r="C50" s="11"/>
      <c r="D50" s="11">
        <v>20000.0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 t="s">
        <v>107</v>
      </c>
      <c r="C51" s="11">
        <v>30000.0</v>
      </c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 t="s">
        <v>28</v>
      </c>
      <c r="C52" s="11">
        <v>10400.0</v>
      </c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>
        <v>46122.0</v>
      </c>
      <c r="B53" s="10" t="s">
        <v>7</v>
      </c>
      <c r="C53" s="11"/>
      <c r="D53" s="11">
        <v>15000.0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 t="s">
        <v>8</v>
      </c>
      <c r="C54" s="11"/>
      <c r="D54" s="11">
        <v>15000.0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 t="s">
        <v>102</v>
      </c>
      <c r="C55" s="11"/>
      <c r="D55" s="11">
        <v>15000.0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 t="s">
        <v>41</v>
      </c>
      <c r="C56" s="11"/>
      <c r="D56" s="11">
        <v>50000.0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 t="s">
        <v>9</v>
      </c>
      <c r="C57" s="11"/>
      <c r="D57" s="11">
        <v>20000.0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 t="s">
        <v>28</v>
      </c>
      <c r="C58" s="11">
        <v>37000.0</v>
      </c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>
        <v>46123.0</v>
      </c>
      <c r="B59" s="10" t="s">
        <v>9</v>
      </c>
      <c r="C59" s="11"/>
      <c r="D59" s="11">
        <v>20000.0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 t="s">
        <v>7</v>
      </c>
      <c r="C60" s="11"/>
      <c r="D60" s="11">
        <v>15000.0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 t="s">
        <v>8</v>
      </c>
      <c r="C61" s="11"/>
      <c r="D61" s="11">
        <v>15000.0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>
        <v>46124.0</v>
      </c>
      <c r="B62" s="10" t="s">
        <v>108</v>
      </c>
      <c r="C62" s="11"/>
      <c r="D62" s="11">
        <f>30000*12</f>
        <v>360000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 t="s">
        <v>9</v>
      </c>
      <c r="C63" s="11"/>
      <c r="D63" s="11">
        <v>20000.0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 t="s">
        <v>7</v>
      </c>
      <c r="C64" s="11"/>
      <c r="D64" s="11">
        <v>15000.0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 t="s">
        <v>8</v>
      </c>
      <c r="C65" s="11"/>
      <c r="D65" s="11">
        <v>15000.0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 t="s">
        <v>109</v>
      </c>
      <c r="C66" s="11"/>
      <c r="D66" s="11">
        <v>300000.0</v>
      </c>
      <c r="E66" s="4" t="s">
        <v>83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>
        <v>46131.0</v>
      </c>
      <c r="B67" s="10" t="s">
        <v>110</v>
      </c>
      <c r="C67" s="11"/>
      <c r="D67" s="11">
        <v>75000.0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 t="s">
        <v>47</v>
      </c>
      <c r="C68" s="11">
        <f>260000+20000</f>
        <v>280000</v>
      </c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 t="s">
        <v>9</v>
      </c>
      <c r="C69" s="11"/>
      <c r="D69" s="11">
        <v>20000.0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>
        <v>46132.0</v>
      </c>
      <c r="B70" s="10" t="s">
        <v>28</v>
      </c>
      <c r="C70" s="11">
        <v>54000.0</v>
      </c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 t="s">
        <v>111</v>
      </c>
      <c r="C71" s="11"/>
      <c r="D71" s="11">
        <f>15000*3</f>
        <v>45000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 t="s">
        <v>9</v>
      </c>
      <c r="C72" s="11"/>
      <c r="D72" s="11">
        <v>20000.0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 t="s">
        <v>103</v>
      </c>
      <c r="C73" s="11">
        <v>1000000.0</v>
      </c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>
        <v>46133.0</v>
      </c>
      <c r="B74" s="10" t="s">
        <v>28</v>
      </c>
      <c r="C74" s="11">
        <v>105000.0</v>
      </c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 t="s">
        <v>111</v>
      </c>
      <c r="C75" s="11"/>
      <c r="D75" s="11">
        <v>45000.0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 t="s">
        <v>9</v>
      </c>
      <c r="C76" s="11"/>
      <c r="D76" s="11">
        <v>20000.0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>
        <v>46134.0</v>
      </c>
      <c r="B77" s="10" t="s">
        <v>111</v>
      </c>
      <c r="C77" s="11"/>
      <c r="D77" s="11">
        <v>45000.0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 t="s">
        <v>9</v>
      </c>
      <c r="C78" s="11"/>
      <c r="D78" s="11">
        <v>20000.0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 t="s">
        <v>80</v>
      </c>
      <c r="C79" s="11">
        <v>8000.0</v>
      </c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>
        <v>46135.0</v>
      </c>
      <c r="B80" s="10" t="s">
        <v>111</v>
      </c>
      <c r="C80" s="11"/>
      <c r="D80" s="11">
        <v>45000.0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 t="s">
        <v>9</v>
      </c>
      <c r="C81" s="11"/>
      <c r="D81" s="11">
        <v>20000.0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 t="s">
        <v>28</v>
      </c>
      <c r="C82" s="11">
        <v>104000.0</v>
      </c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 t="s">
        <v>112</v>
      </c>
      <c r="C83" s="11"/>
      <c r="D83" s="11">
        <v>25000.0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>
        <v>46136.0</v>
      </c>
      <c r="B84" s="10" t="s">
        <v>28</v>
      </c>
      <c r="C84" s="11">
        <v>40000.0</v>
      </c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 t="s">
        <v>111</v>
      </c>
      <c r="C85" s="11"/>
      <c r="D85" s="11">
        <v>45000.0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 t="s">
        <v>9</v>
      </c>
      <c r="C86" s="11"/>
      <c r="D86" s="11">
        <v>20000.0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 t="s">
        <v>113</v>
      </c>
      <c r="C87" s="11"/>
      <c r="D87" s="11">
        <v>10000.0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>
        <v>46137.0</v>
      </c>
      <c r="B88" s="10" t="s">
        <v>111</v>
      </c>
      <c r="C88" s="11"/>
      <c r="D88" s="11">
        <v>45000.0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 t="s">
        <v>9</v>
      </c>
      <c r="C89" s="11"/>
      <c r="D89" s="11">
        <v>20000.0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 t="s">
        <v>41</v>
      </c>
      <c r="C90" s="11"/>
      <c r="D90" s="11">
        <v>70000.0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 t="s">
        <v>114</v>
      </c>
      <c r="C91" s="11"/>
      <c r="D91" s="11">
        <v>280000.0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>
        <v>46138.0</v>
      </c>
      <c r="B92" s="10" t="s">
        <v>115</v>
      </c>
      <c r="C92" s="11"/>
      <c r="D92" s="11">
        <v>45000.0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>
        <v>46139.0</v>
      </c>
      <c r="B93" s="10" t="s">
        <v>116</v>
      </c>
      <c r="C93" s="11"/>
      <c r="D93" s="11">
        <v>45000.0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 t="s">
        <v>103</v>
      </c>
      <c r="C94" s="11">
        <v>1000000.0</v>
      </c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>
        <v>46140.0</v>
      </c>
      <c r="B95" s="10" t="s">
        <v>7</v>
      </c>
      <c r="C95" s="11"/>
      <c r="D95" s="11">
        <f>20*800</f>
        <v>16000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 t="s">
        <v>117</v>
      </c>
      <c r="C96" s="11"/>
      <c r="D96" s="11">
        <v>45000.0</v>
      </c>
      <c r="E96" s="4"/>
      <c r="F96" s="4">
        <f>16*30*9600</f>
        <v>4608000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 t="s">
        <v>28</v>
      </c>
      <c r="C97" s="11">
        <f>128000+13500</f>
        <v>141500</v>
      </c>
      <c r="D97" s="11"/>
      <c r="E97" s="4">
        <f>101*30</f>
        <v>3030</v>
      </c>
      <c r="F97" s="4">
        <f>24480000+F96</f>
        <v>29088000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 t="s">
        <v>118</v>
      </c>
      <c r="C98" s="11"/>
      <c r="D98" s="11">
        <v>2000.0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>
        <v>46141.0</v>
      </c>
      <c r="B99" s="10" t="s">
        <v>119</v>
      </c>
      <c r="C99" s="11"/>
      <c r="D99" s="11">
        <f>25*12.3*47000</f>
        <v>14452500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 t="s">
        <v>103</v>
      </c>
      <c r="C100" s="11">
        <v>1.44525E7</v>
      </c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 t="s">
        <v>103</v>
      </c>
      <c r="C101" s="11">
        <v>2730000.0</v>
      </c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 t="s">
        <v>120</v>
      </c>
      <c r="C102" s="11"/>
      <c r="D102" s="11">
        <v>2.9088E7</v>
      </c>
      <c r="E102" s="4" t="s">
        <v>83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 t="s">
        <v>103</v>
      </c>
      <c r="C103" s="11">
        <f>3030*9600</f>
        <v>29088000</v>
      </c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 t="s">
        <v>28</v>
      </c>
      <c r="C104" s="11">
        <v>40000.0</v>
      </c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 t="s">
        <v>7</v>
      </c>
      <c r="C105" s="11"/>
      <c r="D105" s="11">
        <v>10000.0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 t="s">
        <v>121</v>
      </c>
      <c r="C106" s="11"/>
      <c r="D106" s="11">
        <v>30000.0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 t="s">
        <v>9</v>
      </c>
      <c r="C107" s="11"/>
      <c r="D107" s="11">
        <v>20000.0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 t="s">
        <v>41</v>
      </c>
      <c r="C108" s="11"/>
      <c r="D108" s="11">
        <v>30000.0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>
        <v>46142.0</v>
      </c>
      <c r="B109" s="10" t="s">
        <v>7</v>
      </c>
      <c r="C109" s="11"/>
      <c r="D109" s="11">
        <v>20000.0</v>
      </c>
      <c r="E109" s="4">
        <v>10.5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 t="s">
        <v>69</v>
      </c>
      <c r="C110" s="11">
        <v>50000.0</v>
      </c>
      <c r="D110" s="11"/>
      <c r="E110" s="4"/>
      <c r="F110" s="4">
        <v>17.9</v>
      </c>
      <c r="G110" s="4">
        <v>125000.0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 t="s">
        <v>9</v>
      </c>
      <c r="C111" s="11"/>
      <c r="D111" s="11">
        <v>15000.0</v>
      </c>
      <c r="E111" s="4"/>
      <c r="F111" s="4">
        <v>44.15</v>
      </c>
      <c r="G111" s="4">
        <v>287000.0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 t="s">
        <v>100</v>
      </c>
      <c r="C112" s="11"/>
      <c r="D112" s="11">
        <v>1913000.0</v>
      </c>
      <c r="E112" s="4"/>
      <c r="F112" s="4">
        <v>14.75</v>
      </c>
      <c r="G112" s="4">
        <v>103000.0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>
        <v>46128.0</v>
      </c>
      <c r="B113" s="10" t="s">
        <v>28</v>
      </c>
      <c r="C113" s="11">
        <v>885600.0</v>
      </c>
      <c r="D113" s="11"/>
      <c r="E113" s="4"/>
      <c r="F113" s="4">
        <v>249.88</v>
      </c>
      <c r="G113" s="4">
        <v>1749000.0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>
        <v>46136.0</v>
      </c>
      <c r="B114" s="10" t="s">
        <v>28</v>
      </c>
      <c r="C114" s="11">
        <v>102000.0</v>
      </c>
      <c r="D114" s="11"/>
      <c r="E114" s="4"/>
      <c r="F114" s="4">
        <v>67.15</v>
      </c>
      <c r="G114" s="4">
        <v>470000.0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5" t="s">
        <v>122</v>
      </c>
      <c r="C115" s="11"/>
      <c r="D115" s="11">
        <v>1.119215E7</v>
      </c>
      <c r="E115" s="4"/>
      <c r="F115" s="4">
        <v>4.8</v>
      </c>
      <c r="G115" s="4">
        <v>31000.0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>
        <f>SUM(C3:C115)</f>
        <v>120839250</v>
      </c>
      <c r="D116" s="11">
        <f>SUM(D4:D115)</f>
        <v>121139300</v>
      </c>
      <c r="E116" s="4"/>
      <c r="F116" s="4">
        <v>54.9</v>
      </c>
      <c r="G116" s="4">
        <v>384300.0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 t="s">
        <v>5</v>
      </c>
      <c r="C117" s="11"/>
      <c r="D117" s="11">
        <f>D116-C116</f>
        <v>300050</v>
      </c>
      <c r="E117" s="4"/>
      <c r="F117" s="4">
        <v>7.15</v>
      </c>
      <c r="G117" s="4">
        <v>46500.0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>
        <v>20.8</v>
      </c>
      <c r="G118" s="4">
        <v>145500.0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>
        <v>21.5</v>
      </c>
      <c r="G119" s="4">
        <v>150500.0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>
        <v>5.04</v>
      </c>
      <c r="G120" s="4">
        <v>35000.0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>
        <v>63.8</v>
      </c>
      <c r="G121" s="4">
        <v>446000.0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>
        <v>22.4</v>
      </c>
      <c r="G122" s="4">
        <v>156000.0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>
        <v>24.05</v>
      </c>
      <c r="G123" s="4">
        <v>168000.0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>
        <v>63.5</v>
      </c>
      <c r="G124" s="4">
        <v>412500.0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>
        <v>24.85</v>
      </c>
      <c r="G125" s="4">
        <v>161500.0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>
        <v>11.0</v>
      </c>
      <c r="G126" s="4">
        <v>71500.0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>
        <v>8.5</v>
      </c>
      <c r="G127" s="4">
        <v>55000.0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>
        <v>40.3</v>
      </c>
      <c r="G128" s="4">
        <v>261950.0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>
        <v>9.0</v>
      </c>
      <c r="G129" s="4">
        <v>63000.0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>
        <v>12.75</v>
      </c>
      <c r="G130" s="4">
        <v>89000.0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>
        <v>109.55</v>
      </c>
      <c r="G131" s="4">
        <v>766000.0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>
        <v>17.9</v>
      </c>
      <c r="G132" s="4">
        <v>125000.0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>
        <v>40.95</v>
      </c>
      <c r="G133" s="4">
        <v>286500.0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>
        <v>37.15</v>
      </c>
      <c r="G134" s="4">
        <v>260000.0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>
        <v>29.9</v>
      </c>
      <c r="G135" s="4">
        <v>209000.0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>
        <v>9.0</v>
      </c>
      <c r="G136" s="4">
        <v>63000.0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>
        <v>3.4</v>
      </c>
      <c r="G137" s="4">
        <v>23800.0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>
        <v>9.95</v>
      </c>
      <c r="G138" s="4">
        <v>69000.0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>
        <v>41.3</v>
      </c>
      <c r="G139" s="4">
        <v>289000.0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>
        <v>5.8</v>
      </c>
      <c r="G140" s="4">
        <v>40600.0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>
        <v>8.75</v>
      </c>
      <c r="G141" s="4">
        <v>61000.0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>
        <v>37.1</v>
      </c>
      <c r="G142" s="4">
        <v>260000.0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>
        <v>23.25</v>
      </c>
      <c r="G143" s="4">
        <v>139500.0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>
        <v>365.34</v>
      </c>
      <c r="G144" s="4">
        <v>2730000.0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>
        <v>40.7</v>
      </c>
      <c r="G145" s="4">
        <v>285000.0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>
        <v>3.7</v>
      </c>
      <c r="G146" s="4">
        <v>22000.0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>
        <v>25.25</v>
      </c>
      <c r="G147" s="4">
        <v>151500.0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>
        <f t="shared" ref="F148:G148" si="1">SUM(F110:F147)</f>
        <v>1597.16</v>
      </c>
      <c r="G148" s="4">
        <f t="shared" si="1"/>
        <v>11192150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 t="s">
        <v>41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>
        <v>46144.0</v>
      </c>
      <c r="B3" s="10" t="s">
        <v>5</v>
      </c>
      <c r="C3" s="11">
        <v>1001000.0</v>
      </c>
      <c r="D3" s="11"/>
      <c r="E3" s="4"/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12">
        <v>46144.0</v>
      </c>
      <c r="G4" s="4">
        <f>8.74+9.1+9.16+8.54-2.4</f>
        <v>33.14</v>
      </c>
      <c r="H4" s="4">
        <f>4.16-0.2</f>
        <v>3.96</v>
      </c>
      <c r="I4" s="4">
        <v>10000.0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 t="s">
        <v>21</v>
      </c>
      <c r="C5" s="11">
        <f>287.5*7000</f>
        <v>2012500</v>
      </c>
      <c r="D5" s="11"/>
      <c r="E5" s="4"/>
      <c r="F5" s="12">
        <v>46146.0</v>
      </c>
      <c r="G5" s="4">
        <f>17.9+18.32</f>
        <v>36.22</v>
      </c>
      <c r="H5" s="4">
        <v>2.66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 t="s">
        <v>123</v>
      </c>
      <c r="C6" s="11"/>
      <c r="D6" s="11">
        <f>287.5*7000</f>
        <v>2012500</v>
      </c>
      <c r="E6" s="4"/>
      <c r="F6" s="12">
        <v>46147.0</v>
      </c>
      <c r="G6" s="4">
        <f>9.12+8.72+8.64+8.24</f>
        <v>34.72</v>
      </c>
      <c r="H6" s="4">
        <v>3.44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 t="s">
        <v>21</v>
      </c>
      <c r="C7" s="11">
        <v>2500000.0</v>
      </c>
      <c r="D7" s="11"/>
      <c r="E7" s="4"/>
      <c r="F7" s="12">
        <v>46148.0</v>
      </c>
      <c r="G7" s="4">
        <f>8.18+8.4+9.12+8.52</f>
        <v>34.22</v>
      </c>
      <c r="H7" s="4">
        <v>3.48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 t="s">
        <v>124</v>
      </c>
      <c r="C8" s="11"/>
      <c r="D8" s="11">
        <v>2356000.0</v>
      </c>
      <c r="E8" s="4"/>
      <c r="F8" s="12">
        <v>46149.0</v>
      </c>
      <c r="G8" s="4">
        <f>18+8.4+7.04-2.4</f>
        <v>31.04</v>
      </c>
      <c r="H8" s="4">
        <v>3.1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 t="s">
        <v>125</v>
      </c>
      <c r="C9" s="11">
        <v>1.7598E7</v>
      </c>
      <c r="D9" s="11"/>
      <c r="E9" s="4"/>
      <c r="F9" s="12">
        <v>46150.0</v>
      </c>
      <c r="G9" s="4">
        <f>8.54+9.38+7.74+7.04-2.4</f>
        <v>30.3</v>
      </c>
      <c r="H9" s="4">
        <f>3.1</f>
        <v>3.1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 t="s">
        <v>17</v>
      </c>
      <c r="C10" s="11"/>
      <c r="D10" s="11">
        <v>1.7598E7</v>
      </c>
      <c r="E10" s="4"/>
      <c r="F10" s="12">
        <v>46151.0</v>
      </c>
      <c r="G10" s="4">
        <f>8.2+9.14+8.5-1.8</f>
        <v>24.04</v>
      </c>
      <c r="H10" s="4">
        <v>2.55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 t="s">
        <v>121</v>
      </c>
      <c r="C11" s="11"/>
      <c r="D11" s="11">
        <v>30000.0</v>
      </c>
      <c r="E11" s="4"/>
      <c r="F11" s="1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 t="s">
        <v>36</v>
      </c>
      <c r="C12" s="11"/>
      <c r="D12" s="11">
        <v>5000.0</v>
      </c>
      <c r="E12" s="4"/>
      <c r="F12" s="16">
        <v>46153.0</v>
      </c>
      <c r="G12" s="4">
        <f>8.6+8.82+9.04+8.38-2.4</f>
        <v>32.44</v>
      </c>
      <c r="H12" s="17">
        <v>4.2</v>
      </c>
      <c r="I12" s="17">
        <v>10000.0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 t="s">
        <v>9</v>
      </c>
      <c r="C13" s="11"/>
      <c r="D13" s="11">
        <v>15000.0</v>
      </c>
      <c r="E13" s="4"/>
      <c r="F13" s="16">
        <v>46154.0</v>
      </c>
      <c r="G13" s="4">
        <f>9+8.4+8.4+9.16-2.4</f>
        <v>32.56</v>
      </c>
      <c r="H13" s="4">
        <f>3.88-0.6</f>
        <v>3.28</v>
      </c>
      <c r="I13" s="17">
        <v>10000.0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 t="s">
        <v>41</v>
      </c>
      <c r="C14" s="11"/>
      <c r="D14" s="11">
        <v>20000.0</v>
      </c>
      <c r="E14" s="4"/>
      <c r="F14" s="16">
        <v>46155.0</v>
      </c>
      <c r="G14" s="4">
        <f>17.56+18.06+5.9-3</f>
        <v>38.52</v>
      </c>
      <c r="H14" s="17">
        <v>3.9</v>
      </c>
      <c r="I14" s="17">
        <v>10000.0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>
        <v>46146.0</v>
      </c>
      <c r="B15" s="10" t="s">
        <v>126</v>
      </c>
      <c r="C15" s="11">
        <v>7.0E7</v>
      </c>
      <c r="D15" s="11"/>
      <c r="E15" s="4" t="s">
        <v>83</v>
      </c>
      <c r="F15" s="16">
        <v>46156.0</v>
      </c>
      <c r="G15" s="4">
        <f>18.76+18.2+4.24-3</f>
        <v>38.2</v>
      </c>
      <c r="H15" s="17">
        <v>3.2</v>
      </c>
      <c r="I15" s="17">
        <v>10000.0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 t="s">
        <v>21</v>
      </c>
      <c r="C16" s="11">
        <v>8560000.0</v>
      </c>
      <c r="D16" s="11"/>
      <c r="E16" s="4"/>
      <c r="F16" s="16">
        <v>46157.0</v>
      </c>
      <c r="G16" s="4">
        <f>18.8+18.68-2.4</f>
        <v>35.08</v>
      </c>
      <c r="H16" s="17">
        <v>3.0</v>
      </c>
      <c r="I16" s="17">
        <v>10000.0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 t="s">
        <v>127</v>
      </c>
      <c r="C17" s="11"/>
      <c r="D17" s="11">
        <v>7.856E7</v>
      </c>
      <c r="E17" s="4" t="s">
        <v>83</v>
      </c>
      <c r="F17" s="16">
        <v>46158.0</v>
      </c>
      <c r="G17" s="4">
        <f>10.4+9.44+10+9.36-2.4</f>
        <v>36.8</v>
      </c>
      <c r="H17" s="4">
        <f>4.16-0.6</f>
        <v>3.56</v>
      </c>
      <c r="I17" s="17">
        <v>10000.0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 t="s">
        <v>121</v>
      </c>
      <c r="C18" s="11"/>
      <c r="D18" s="11">
        <v>30000.0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 t="s">
        <v>9</v>
      </c>
      <c r="C19" s="11"/>
      <c r="D19" s="11">
        <v>15000.0</v>
      </c>
      <c r="E19" s="4"/>
      <c r="F19" s="16">
        <v>46160.0</v>
      </c>
      <c r="G19" s="4">
        <f>9.12+9.6+8.9+8.86+4.84-3</f>
        <v>38.32</v>
      </c>
      <c r="H19" s="4">
        <f>4.12-0.6</f>
        <v>3.52</v>
      </c>
      <c r="I19" s="17">
        <v>10000.0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>
        <v>46147.0</v>
      </c>
      <c r="B20" s="10" t="s">
        <v>9</v>
      </c>
      <c r="C20" s="11"/>
      <c r="D20" s="11">
        <v>15000.0</v>
      </c>
      <c r="E20" s="4"/>
      <c r="F20" s="16">
        <v>46161.0</v>
      </c>
      <c r="G20" s="4">
        <f>9.26+8.72+8.76+8.34+6-3</f>
        <v>38.08</v>
      </c>
      <c r="H20" s="17">
        <v>3.1</v>
      </c>
      <c r="I20" s="17">
        <v>10000.0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 t="s">
        <v>121</v>
      </c>
      <c r="C21" s="11"/>
      <c r="D21" s="11">
        <v>30000.0</v>
      </c>
      <c r="E21" s="4"/>
      <c r="F21" s="16">
        <v>46162.0</v>
      </c>
      <c r="G21" s="4">
        <f>9.54+20.5+9.36-2.4</f>
        <v>37</v>
      </c>
      <c r="H21" s="17">
        <v>2.7</v>
      </c>
      <c r="I21" s="17">
        <v>10000.0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>
        <v>46148.0</v>
      </c>
      <c r="B22" s="10" t="s">
        <v>9</v>
      </c>
      <c r="C22" s="11"/>
      <c r="D22" s="11">
        <v>15000.0</v>
      </c>
      <c r="E22" s="4"/>
      <c r="F22" s="16">
        <v>46163.0</v>
      </c>
      <c r="G22" s="4">
        <f>16.7+18.54+8.9-3</f>
        <v>41.14</v>
      </c>
      <c r="H22" s="17">
        <v>5.0</v>
      </c>
      <c r="I22" s="17">
        <v>10000.0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 t="s">
        <v>121</v>
      </c>
      <c r="C23" s="11"/>
      <c r="D23" s="11">
        <v>30000.0</v>
      </c>
      <c r="E23" s="4"/>
      <c r="F23" s="16">
        <v>46164.0</v>
      </c>
      <c r="G23" s="17">
        <f>8.25-0.6</f>
        <v>7.65</v>
      </c>
      <c r="H23" s="17">
        <v>1.0</v>
      </c>
      <c r="I23" s="17">
        <v>10000.0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 t="s">
        <v>128</v>
      </c>
      <c r="C24" s="11">
        <v>20000.0</v>
      </c>
      <c r="D24" s="11"/>
      <c r="E24" s="4"/>
      <c r="F24" s="17" t="s">
        <v>129</v>
      </c>
      <c r="G24" s="4">
        <f>8.42+9.02+8.82-1.8</f>
        <v>24.46</v>
      </c>
      <c r="H24" s="4">
        <f>4.9-0.6</f>
        <v>4.3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>
        <v>46149.0</v>
      </c>
      <c r="B25" s="10" t="s">
        <v>21</v>
      </c>
      <c r="C25" s="11">
        <v>500000.0</v>
      </c>
      <c r="D25" s="11"/>
      <c r="E25" s="4"/>
      <c r="F25" s="16">
        <v>46165.0</v>
      </c>
      <c r="G25" s="4">
        <f>19.64+18.84-2.4</f>
        <v>36.08</v>
      </c>
      <c r="H25" s="4">
        <f>7.2</f>
        <v>7.2</v>
      </c>
      <c r="I25" s="17">
        <v>10000.0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 t="s">
        <v>121</v>
      </c>
      <c r="C26" s="11"/>
      <c r="D26" s="11">
        <v>30000.0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 t="s">
        <v>9</v>
      </c>
      <c r="C27" s="11"/>
      <c r="D27" s="11">
        <v>15000.0</v>
      </c>
      <c r="E27" s="4"/>
      <c r="F27" s="16">
        <v>46167.0</v>
      </c>
      <c r="G27" s="4">
        <f>18.94+18.22-2.4</f>
        <v>34.76</v>
      </c>
      <c r="H27" s="4">
        <f>6.08-0.6</f>
        <v>5.48</v>
      </c>
      <c r="I27" s="17">
        <v>10000.0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>
        <v>66.15</v>
      </c>
      <c r="C28" s="11"/>
      <c r="D28" s="11">
        <f>421000+42000</f>
        <v>463000</v>
      </c>
      <c r="E28" s="11"/>
      <c r="F28" s="16">
        <v>46168.0</v>
      </c>
      <c r="G28" s="4">
        <f>20+19.72-2.4</f>
        <v>37.32</v>
      </c>
      <c r="H28" s="4">
        <f>6.9-0.6</f>
        <v>6.3</v>
      </c>
      <c r="I28" s="17">
        <v>10000.0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 t="s">
        <v>28</v>
      </c>
      <c r="C29" s="11">
        <v>454000.0</v>
      </c>
      <c r="D29" s="11"/>
      <c r="E29" s="4"/>
      <c r="F29" s="16">
        <v>46169.0</v>
      </c>
      <c r="G29" s="4">
        <f>9.6+9.9+9.56+9.74-2.4</f>
        <v>36.4</v>
      </c>
      <c r="H29" s="4">
        <f>6.22-0.6</f>
        <v>5.62</v>
      </c>
      <c r="I29" s="17">
        <v>10000.0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 t="s">
        <v>130</v>
      </c>
      <c r="C30" s="11"/>
      <c r="D30" s="11">
        <v>245000.0</v>
      </c>
      <c r="E30" s="4"/>
      <c r="F30" s="16">
        <v>46170.0</v>
      </c>
      <c r="G30" s="4">
        <f>19.92+17.64-2.4</f>
        <v>35.16</v>
      </c>
      <c r="H30" s="4">
        <f>6.82-0.6</f>
        <v>6.22</v>
      </c>
      <c r="I30" s="17">
        <v>10000.0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>
        <v>46150.0</v>
      </c>
      <c r="B31" s="10" t="s">
        <v>68</v>
      </c>
      <c r="C31" s="11">
        <v>1000000.0</v>
      </c>
      <c r="D31" s="11"/>
      <c r="E31" s="4"/>
      <c r="F31" s="16">
        <v>46171.0</v>
      </c>
      <c r="G31" s="4">
        <f>18.7+9.32+9.82-2.4</f>
        <v>35.44</v>
      </c>
      <c r="H31" s="4">
        <f>5.08-0.6</f>
        <v>4.48</v>
      </c>
      <c r="I31" s="17">
        <v>10000.0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 t="s">
        <v>131</v>
      </c>
      <c r="C32" s="11"/>
      <c r="D32" s="11">
        <v>61000.0</v>
      </c>
      <c r="E32" s="4"/>
      <c r="F32" s="16">
        <v>46172.0</v>
      </c>
      <c r="G32" s="4">
        <f>10.28+10.84+10.54-1.8</f>
        <v>29.86</v>
      </c>
      <c r="H32" s="4">
        <f>5.54-0.6</f>
        <v>4.94</v>
      </c>
      <c r="I32" s="17">
        <v>10000.0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 t="s">
        <v>68</v>
      </c>
      <c r="C33" s="11">
        <v>6180000.0</v>
      </c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 t="s">
        <v>132</v>
      </c>
      <c r="C34" s="11"/>
      <c r="D34" s="11">
        <v>6180000.0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 t="s">
        <v>133</v>
      </c>
      <c r="C35" s="11"/>
      <c r="D35" s="11">
        <v>45000.0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 t="s">
        <v>28</v>
      </c>
      <c r="C36" s="11">
        <v>108000.0</v>
      </c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 t="s">
        <v>134</v>
      </c>
      <c r="C37" s="11"/>
      <c r="D37" s="11">
        <v>20000.0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 t="s">
        <v>9</v>
      </c>
      <c r="C38" s="11"/>
      <c r="D38" s="11">
        <v>15000.0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 t="s">
        <v>135</v>
      </c>
      <c r="C39" s="11"/>
      <c r="D39" s="11">
        <v>18000.0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>
        <v>46151.0</v>
      </c>
      <c r="B40" s="10" t="s">
        <v>8</v>
      </c>
      <c r="C40" s="11"/>
      <c r="D40" s="11">
        <v>15000.0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 t="s">
        <v>9</v>
      </c>
      <c r="C41" s="11"/>
      <c r="D41" s="11">
        <v>15000.0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 t="s">
        <v>41</v>
      </c>
      <c r="C42" s="11"/>
      <c r="D42" s="11">
        <v>60000.0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 t="s">
        <v>136</v>
      </c>
      <c r="C43" s="11"/>
      <c r="D43" s="11">
        <v>45000.0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 t="s">
        <v>68</v>
      </c>
      <c r="C44" s="11">
        <v>7683600.0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 t="s">
        <v>137</v>
      </c>
      <c r="C45" s="11"/>
      <c r="D45" s="11">
        <v>7683600.0</v>
      </c>
      <c r="E45" s="4" t="s">
        <v>138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18">
        <v>46153.0</v>
      </c>
      <c r="B46" s="15" t="s">
        <v>139</v>
      </c>
      <c r="C46" s="11"/>
      <c r="D46" s="19">
        <v>45000.0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5" t="s">
        <v>9</v>
      </c>
      <c r="C47" s="11"/>
      <c r="D47" s="19">
        <v>15000.0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5" t="s">
        <v>28</v>
      </c>
      <c r="C48" s="19">
        <v>20000.0</v>
      </c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8">
        <v>46154.0</v>
      </c>
      <c r="B49" s="15" t="s">
        <v>140</v>
      </c>
      <c r="C49" s="11"/>
      <c r="D49" s="11">
        <f>31*30*9600</f>
        <v>8928000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5" t="s">
        <v>68</v>
      </c>
      <c r="C50" s="19">
        <v>8928000.0</v>
      </c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5" t="s">
        <v>68</v>
      </c>
      <c r="C51" s="19">
        <v>1000000.0</v>
      </c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5" t="s">
        <v>28</v>
      </c>
      <c r="C52" s="19">
        <v>25000.0</v>
      </c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5" t="s">
        <v>139</v>
      </c>
      <c r="C53" s="11"/>
      <c r="D53" s="19">
        <v>45000.0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5" t="s">
        <v>9</v>
      </c>
      <c r="C54" s="11"/>
      <c r="D54" s="19">
        <v>15000.0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18">
        <v>46155.0</v>
      </c>
      <c r="B55" s="15" t="s">
        <v>68</v>
      </c>
      <c r="C55" s="19">
        <v>1000000.0</v>
      </c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5" t="s">
        <v>141</v>
      </c>
      <c r="C56" s="11"/>
      <c r="D56" s="19">
        <v>1010000.0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5" t="s">
        <v>89</v>
      </c>
      <c r="C57" s="11"/>
      <c r="D57" s="19">
        <v>160000.0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5" t="s">
        <v>142</v>
      </c>
      <c r="C58" s="11"/>
      <c r="D58" s="19">
        <v>142000.0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5" t="s">
        <v>47</v>
      </c>
      <c r="C59" s="19">
        <v>1182000.0</v>
      </c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5" t="s">
        <v>139</v>
      </c>
      <c r="C60" s="11"/>
      <c r="D60" s="19">
        <v>45000.0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5" t="s">
        <v>9</v>
      </c>
      <c r="C61" s="11"/>
      <c r="D61" s="19">
        <v>15000.0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5" t="s">
        <v>143</v>
      </c>
      <c r="C62" s="19">
        <v>6000.0</v>
      </c>
      <c r="D62" s="11"/>
      <c r="E62" s="4"/>
      <c r="F62" s="4"/>
      <c r="G62" s="1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8">
        <v>46155.0</v>
      </c>
      <c r="B63" s="15" t="s">
        <v>144</v>
      </c>
      <c r="C63" s="19">
        <v>5.0E7</v>
      </c>
      <c r="D63" s="11"/>
      <c r="E63" s="17" t="s">
        <v>83</v>
      </c>
      <c r="F63" s="4"/>
      <c r="G63" s="1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5" t="s">
        <v>145</v>
      </c>
      <c r="C64" s="11"/>
      <c r="D64" s="11">
        <f>117*40*9820</f>
        <v>45957600</v>
      </c>
      <c r="E64" s="17" t="s">
        <v>83</v>
      </c>
      <c r="F64" s="4"/>
      <c r="G64" s="1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5" t="s">
        <v>146</v>
      </c>
      <c r="C65" s="11"/>
      <c r="D65" s="19">
        <v>4042400.0</v>
      </c>
      <c r="E65" s="4"/>
      <c r="F65" s="4"/>
      <c r="G65" s="1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18">
        <v>46156.0</v>
      </c>
      <c r="B66" s="15" t="s">
        <v>28</v>
      </c>
      <c r="C66" s="19">
        <v>116000.0</v>
      </c>
      <c r="D66" s="11"/>
      <c r="E66" s="4"/>
      <c r="F66" s="4"/>
      <c r="G66" s="1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5" t="s">
        <v>139</v>
      </c>
      <c r="C67" s="11"/>
      <c r="D67" s="19">
        <v>45000.0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5" t="s">
        <v>133</v>
      </c>
      <c r="C68" s="11"/>
      <c r="D68" s="19">
        <v>45000.0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5" t="s">
        <v>9</v>
      </c>
      <c r="C69" s="11"/>
      <c r="D69" s="19">
        <v>15000.0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5" t="s">
        <v>147</v>
      </c>
      <c r="C70" s="11"/>
      <c r="D70" s="19">
        <v>140000.0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18">
        <v>46157.0</v>
      </c>
      <c r="B71" s="15" t="s">
        <v>139</v>
      </c>
      <c r="C71" s="11"/>
      <c r="D71" s="19">
        <v>45000.0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5" t="s">
        <v>9</v>
      </c>
      <c r="C72" s="11"/>
      <c r="D72" s="19">
        <v>15000.0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18">
        <v>46158.0</v>
      </c>
      <c r="B73" s="15" t="s">
        <v>139</v>
      </c>
      <c r="C73" s="11"/>
      <c r="D73" s="19">
        <v>45000.0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5" t="s">
        <v>9</v>
      </c>
      <c r="C74" s="11"/>
      <c r="D74" s="19">
        <v>15000.0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5" t="s">
        <v>41</v>
      </c>
      <c r="C75" s="11"/>
      <c r="D75" s="19">
        <v>60000.0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18">
        <v>46160.0</v>
      </c>
      <c r="B76" s="15" t="s">
        <v>68</v>
      </c>
      <c r="C76" s="19">
        <v>500000.0</v>
      </c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5" t="s">
        <v>28</v>
      </c>
      <c r="C77" s="19">
        <v>100500.0</v>
      </c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5" t="s">
        <v>139</v>
      </c>
      <c r="C78" s="11"/>
      <c r="D78" s="19">
        <v>45000.0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5" t="s">
        <v>9</v>
      </c>
      <c r="C79" s="11"/>
      <c r="D79" s="19">
        <v>15000.0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18">
        <v>46161.0</v>
      </c>
      <c r="B80" s="15" t="s">
        <v>139</v>
      </c>
      <c r="C80" s="11"/>
      <c r="D80" s="19">
        <v>45000.0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5" t="s">
        <v>9</v>
      </c>
      <c r="C81" s="11"/>
      <c r="D81" s="19">
        <v>15000.0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18">
        <v>46162.0</v>
      </c>
      <c r="B82" s="15" t="s">
        <v>139</v>
      </c>
      <c r="C82" s="11"/>
      <c r="D82" s="19">
        <v>45000.0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5" t="s">
        <v>9</v>
      </c>
      <c r="C83" s="11"/>
      <c r="D83" s="19">
        <v>15000.0</v>
      </c>
      <c r="E83" s="17">
        <v>3.54</v>
      </c>
      <c r="F83" s="17" t="s">
        <v>148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5" t="s">
        <v>28</v>
      </c>
      <c r="C84" s="19">
        <v>20000.0</v>
      </c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5" t="s">
        <v>149</v>
      </c>
      <c r="C85" s="19">
        <v>8000.0</v>
      </c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18">
        <v>46163.0</v>
      </c>
      <c r="B86" s="15" t="s">
        <v>150</v>
      </c>
      <c r="C86" s="11"/>
      <c r="D86" s="19">
        <v>330000.0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5" t="s">
        <v>151</v>
      </c>
      <c r="C87" s="11"/>
      <c r="D87" s="19">
        <v>40000.0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5" t="s">
        <v>139</v>
      </c>
      <c r="C88" s="11"/>
      <c r="D88" s="19">
        <v>45000.0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5" t="s">
        <v>9</v>
      </c>
      <c r="C89" s="11"/>
      <c r="D89" s="19">
        <v>15000.0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18">
        <v>46164.0</v>
      </c>
      <c r="B90" s="15" t="s">
        <v>68</v>
      </c>
      <c r="C90" s="19">
        <v>1000000.0</v>
      </c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5" t="s">
        <v>28</v>
      </c>
      <c r="C91" s="19">
        <v>108000.0</v>
      </c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9">
        <v>130000.0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5" t="s">
        <v>139</v>
      </c>
      <c r="C93" s="11"/>
      <c r="D93" s="19">
        <v>45000.0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5" t="s">
        <v>9</v>
      </c>
      <c r="C94" s="11"/>
      <c r="D94" s="19">
        <v>15000.0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5" t="s">
        <v>152</v>
      </c>
      <c r="C95" s="11"/>
      <c r="D95" s="19">
        <v>300000.0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5" t="s">
        <v>153</v>
      </c>
      <c r="C96" s="19">
        <v>5.0E7</v>
      </c>
      <c r="D96" s="11"/>
      <c r="E96" s="17" t="s">
        <v>83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5" t="s">
        <v>154</v>
      </c>
      <c r="C97" s="11"/>
      <c r="D97" s="11">
        <f>30*12.3*46500</f>
        <v>17158500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5" t="s">
        <v>155</v>
      </c>
      <c r="C98" s="11"/>
      <c r="D98" s="19">
        <v>3.0E7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5" t="s">
        <v>156</v>
      </c>
      <c r="C99" s="11"/>
      <c r="D99" s="19">
        <v>5000000.0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5" t="s">
        <v>21</v>
      </c>
      <c r="C100" s="19">
        <v>2158500.0</v>
      </c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18">
        <v>46165.0</v>
      </c>
      <c r="B101" s="15" t="s">
        <v>28</v>
      </c>
      <c r="C101" s="19">
        <v>18500.0</v>
      </c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5" t="s">
        <v>139</v>
      </c>
      <c r="C102" s="11"/>
      <c r="D102" s="19">
        <v>45000.0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5" t="s">
        <v>9</v>
      </c>
      <c r="C103" s="11"/>
      <c r="D103" s="19">
        <v>15000.0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5" t="s">
        <v>41</v>
      </c>
      <c r="C104" s="11"/>
      <c r="D104" s="19">
        <v>60000.0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18">
        <v>46167.0</v>
      </c>
      <c r="B105" s="15" t="s">
        <v>21</v>
      </c>
      <c r="C105" s="19">
        <v>1000000.0</v>
      </c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5" t="s">
        <v>139</v>
      </c>
      <c r="C106" s="11"/>
      <c r="D106" s="19">
        <v>45000.0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5" t="s">
        <v>9</v>
      </c>
      <c r="C107" s="11"/>
      <c r="D107" s="19">
        <v>15000.0</v>
      </c>
      <c r="E107" s="20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5" t="s">
        <v>28</v>
      </c>
      <c r="C108" s="19">
        <v>20000.0</v>
      </c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18">
        <v>46168.0</v>
      </c>
      <c r="B109" s="15" t="s">
        <v>139</v>
      </c>
      <c r="C109" s="11"/>
      <c r="D109" s="19">
        <v>45000.0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5" t="s">
        <v>9</v>
      </c>
      <c r="C110" s="11"/>
      <c r="D110" s="19">
        <v>15000.0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18">
        <v>46169.0</v>
      </c>
      <c r="B111" s="15" t="s">
        <v>139</v>
      </c>
      <c r="C111" s="11"/>
      <c r="D111" s="19">
        <v>45000.0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5" t="s">
        <v>9</v>
      </c>
      <c r="C112" s="11"/>
      <c r="D112" s="19">
        <v>15000.0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18">
        <v>46170.0</v>
      </c>
      <c r="B113" s="15" t="s">
        <v>139</v>
      </c>
      <c r="C113" s="11"/>
      <c r="D113" s="19">
        <v>45000.0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5" t="s">
        <v>9</v>
      </c>
      <c r="C114" s="11"/>
      <c r="D114" s="19">
        <v>15000.0</v>
      </c>
      <c r="E114" s="4"/>
      <c r="F114" s="17" t="s">
        <v>157</v>
      </c>
      <c r="G114" s="4">
        <f>330.2*48000</f>
        <v>15849600</v>
      </c>
      <c r="H114" s="4"/>
      <c r="I114" s="17" t="s">
        <v>158</v>
      </c>
      <c r="J114" s="17">
        <v>1.7E8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18">
        <v>46171.0</v>
      </c>
      <c r="B115" s="15" t="s">
        <v>139</v>
      </c>
      <c r="C115" s="11"/>
      <c r="D115" s="19">
        <v>45000.0</v>
      </c>
      <c r="E115" s="4"/>
      <c r="F115" s="17" t="s">
        <v>159</v>
      </c>
      <c r="G115" s="4">
        <f>610.55*48000</f>
        <v>29306400</v>
      </c>
      <c r="H115" s="4"/>
      <c r="I115" s="17" t="s">
        <v>160</v>
      </c>
      <c r="J115" s="17">
        <v>7.0E7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5" t="s">
        <v>9</v>
      </c>
      <c r="C116" s="11"/>
      <c r="D116" s="19">
        <v>15000.0</v>
      </c>
      <c r="E116" s="4"/>
      <c r="F116" s="17" t="s">
        <v>161</v>
      </c>
      <c r="G116" s="4">
        <f>39.5*35000</f>
        <v>1382500</v>
      </c>
      <c r="H116" s="4"/>
      <c r="I116" s="17" t="s">
        <v>162</v>
      </c>
      <c r="J116" s="21">
        <f>SUM(J114:J115)</f>
        <v>240000000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18">
        <v>46172.0</v>
      </c>
      <c r="B117" s="15" t="s">
        <v>47</v>
      </c>
      <c r="C117" s="19">
        <v>45000.0</v>
      </c>
      <c r="D117" s="11"/>
      <c r="E117" s="4"/>
      <c r="F117" s="17" t="s">
        <v>163</v>
      </c>
      <c r="G117" s="4">
        <f>773*12400</f>
        <v>9585200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5" t="s">
        <v>121</v>
      </c>
      <c r="C118" s="11"/>
      <c r="D118" s="19">
        <v>30000.0</v>
      </c>
      <c r="E118" s="4"/>
      <c r="F118" s="17" t="s">
        <v>164</v>
      </c>
      <c r="G118" s="4">
        <f>315*10400</f>
        <v>3276000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5" t="s">
        <v>41</v>
      </c>
      <c r="C119" s="11"/>
      <c r="D119" s="19">
        <v>60000.0</v>
      </c>
      <c r="E119" s="4"/>
      <c r="F119" s="17" t="s">
        <v>165</v>
      </c>
      <c r="G119" s="4">
        <f>99.85*40000</f>
        <v>3994000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18">
        <v>46173.0</v>
      </c>
      <c r="B120" s="15" t="s">
        <v>100</v>
      </c>
      <c r="C120" s="11"/>
      <c r="D120" s="19">
        <v>1994000.0</v>
      </c>
      <c r="E120" s="4"/>
      <c r="F120" s="17" t="s">
        <v>166</v>
      </c>
      <c r="G120" s="4">
        <f>44.5*15000</f>
        <v>667500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5" t="s">
        <v>167</v>
      </c>
      <c r="C121" s="11"/>
      <c r="D121" s="19">
        <v>1337000.0</v>
      </c>
      <c r="E121" s="4"/>
      <c r="F121" s="17" t="s">
        <v>168</v>
      </c>
      <c r="G121" s="4">
        <f>400*6800</f>
        <v>2720000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5" t="s">
        <v>21</v>
      </c>
      <c r="C122" s="19">
        <v>2360000.0</v>
      </c>
      <c r="D122" s="11"/>
      <c r="E122" s="4"/>
      <c r="F122" s="17" t="s">
        <v>169</v>
      </c>
      <c r="G122" s="17">
        <v>3.831204E7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5" t="s">
        <v>170</v>
      </c>
      <c r="C123" s="11"/>
      <c r="D123" s="19">
        <v>2360000.0</v>
      </c>
      <c r="E123" s="4"/>
      <c r="F123" s="17" t="s">
        <v>171</v>
      </c>
      <c r="G123" s="17">
        <v>9.983E7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17" t="s">
        <v>172</v>
      </c>
      <c r="G124" s="17">
        <v>2.6177169E7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>
        <f t="shared" ref="C125:D125" si="1">SUM(C3:C124)</f>
        <v>237232600</v>
      </c>
      <c r="D125" s="19">
        <f t="shared" si="1"/>
        <v>235946600</v>
      </c>
      <c r="E125" s="4"/>
      <c r="F125" s="17" t="s">
        <v>173</v>
      </c>
      <c r="G125" s="17">
        <v>1.946015E8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5" t="s">
        <v>5</v>
      </c>
      <c r="C126" s="11">
        <f>SUM(C125-D125)</f>
        <v>1286000</v>
      </c>
      <c r="D126" s="11"/>
      <c r="E126" s="4"/>
      <c r="F126" s="17" t="s">
        <v>174</v>
      </c>
      <c r="G126" s="21">
        <f>SUM(G113:G125)</f>
        <v>425701909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1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17" t="s">
        <v>175</v>
      </c>
      <c r="G129" s="4">
        <f>G126-J116</f>
        <v>185701909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17" t="s">
        <v>176</v>
      </c>
      <c r="G130" s="17">
        <v>1.25122025E8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17" t="s">
        <v>177</v>
      </c>
      <c r="G131" s="4">
        <f>G129-G130</f>
        <v>60579884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8">
        <v>46173.0</v>
      </c>
      <c r="B3" s="15" t="s">
        <v>5</v>
      </c>
      <c r="C3" s="19">
        <v>1025000.0</v>
      </c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9">
        <v>261000.0</v>
      </c>
      <c r="E4" s="4"/>
      <c r="F4" s="4"/>
      <c r="G4" s="4"/>
      <c r="H4" s="4"/>
      <c r="I4" s="17" t="s">
        <v>41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8">
        <v>46174.0</v>
      </c>
      <c r="B5" s="15" t="s">
        <v>139</v>
      </c>
      <c r="C5" s="11"/>
      <c r="D5" s="19">
        <v>50000.0</v>
      </c>
      <c r="E5" s="4"/>
      <c r="F5" s="16">
        <v>46174.0</v>
      </c>
      <c r="G5" s="4">
        <f>18.34+17.72+5.04-3</f>
        <v>38.1</v>
      </c>
      <c r="H5" s="4">
        <f>4.96-0.6</f>
        <v>4.36</v>
      </c>
      <c r="I5" s="17">
        <v>10000.0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5" t="s">
        <v>9</v>
      </c>
      <c r="C6" s="11"/>
      <c r="D6" s="19">
        <v>15000.0</v>
      </c>
      <c r="E6" s="4"/>
      <c r="F6" s="16">
        <v>46175.0</v>
      </c>
      <c r="G6" s="4">
        <f>18.06+18.8+4.62-3</f>
        <v>38.48</v>
      </c>
      <c r="H6" s="4">
        <f>5.22-0.6</f>
        <v>4.62</v>
      </c>
      <c r="I6" s="17">
        <v>10000.0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5" t="s">
        <v>28</v>
      </c>
      <c r="C7" s="11">
        <f>104000+120000</f>
        <v>224000</v>
      </c>
      <c r="D7" s="11"/>
      <c r="E7" s="4"/>
      <c r="F7" s="16">
        <v>46176.0</v>
      </c>
      <c r="G7" s="4">
        <f>8.9+8.64+15.06-2.4</f>
        <v>30.2</v>
      </c>
      <c r="H7" s="4">
        <f>4.4-0.6</f>
        <v>3.8</v>
      </c>
      <c r="I7" s="17">
        <v>10000.0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5" t="s">
        <v>69</v>
      </c>
      <c r="C8" s="19">
        <v>50000.0</v>
      </c>
      <c r="D8" s="11"/>
      <c r="E8" s="4"/>
      <c r="F8" s="16">
        <v>46177.0</v>
      </c>
      <c r="G8" s="4">
        <f>17.64+18.4+2.5-2.4</f>
        <v>36.14</v>
      </c>
      <c r="H8" s="4">
        <f>4.9-0.6</f>
        <v>4.3</v>
      </c>
      <c r="I8" s="17">
        <v>10000.0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18">
        <v>46175.0</v>
      </c>
      <c r="B9" s="15" t="s">
        <v>21</v>
      </c>
      <c r="C9" s="19">
        <v>1.180725E7</v>
      </c>
      <c r="D9" s="11"/>
      <c r="E9" s="4"/>
      <c r="F9" s="16">
        <v>46178.0</v>
      </c>
      <c r="G9" s="4">
        <f>18.02+17.24+9.14-3</f>
        <v>41.4</v>
      </c>
      <c r="H9" s="4">
        <f>5.04-0.6</f>
        <v>4.44</v>
      </c>
      <c r="I9" s="17">
        <v>10000.0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5" t="s">
        <v>178</v>
      </c>
      <c r="C10" s="11"/>
      <c r="D10" s="11">
        <f>1297.5*9100</f>
        <v>11807250</v>
      </c>
      <c r="E10" s="4"/>
      <c r="F10" s="16">
        <v>46179.0</v>
      </c>
      <c r="G10" s="4">
        <f>17.66+18.2+8.82-3</f>
        <v>41.68</v>
      </c>
      <c r="H10" s="4">
        <f>5.08-0.6</f>
        <v>4.48</v>
      </c>
      <c r="I10" s="17">
        <v>10000.0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5" t="s">
        <v>21</v>
      </c>
      <c r="C11" s="19">
        <v>2500000.0</v>
      </c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5" t="s">
        <v>139</v>
      </c>
      <c r="C12" s="11"/>
      <c r="D12" s="19">
        <v>50000.0</v>
      </c>
      <c r="E12" s="4"/>
      <c r="F12" s="1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5" t="s">
        <v>28</v>
      </c>
      <c r="C13" s="19">
        <v>5000.0</v>
      </c>
      <c r="D13" s="11"/>
      <c r="E13" s="4"/>
      <c r="F13" s="16">
        <v>46181.0</v>
      </c>
      <c r="G13" s="4">
        <f>16.7+17.46+8.7-3</f>
        <v>39.86</v>
      </c>
      <c r="H13" s="17">
        <v>3.7</v>
      </c>
      <c r="I13" s="17">
        <v>10000.0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5" t="s">
        <v>179</v>
      </c>
      <c r="C14" s="19">
        <v>5000.0</v>
      </c>
      <c r="D14" s="11"/>
      <c r="E14" s="4"/>
      <c r="F14" s="16">
        <v>46182.0</v>
      </c>
      <c r="G14" s="4">
        <f>18.56+17.74+9.36-3</f>
        <v>42.66</v>
      </c>
      <c r="H14" s="17">
        <v>4.0</v>
      </c>
      <c r="I14" s="17">
        <v>10000.0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5" t="s">
        <v>9</v>
      </c>
      <c r="C15" s="11"/>
      <c r="D15" s="19">
        <v>15000.0</v>
      </c>
      <c r="E15" s="4"/>
      <c r="F15" s="16">
        <v>46183.0</v>
      </c>
      <c r="G15" s="4">
        <f>18.42+8.88+9.02+9.56-3</f>
        <v>42.88</v>
      </c>
      <c r="H15" s="4">
        <f>4.3-0.6</f>
        <v>3.7</v>
      </c>
      <c r="I15" s="17">
        <v>10000.0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5" t="s">
        <v>180</v>
      </c>
      <c r="C16" s="19">
        <v>3000.0</v>
      </c>
      <c r="D16" s="11"/>
      <c r="E16" s="4"/>
      <c r="F16" s="16">
        <v>46184.0</v>
      </c>
      <c r="G16" s="4">
        <f>18.06+17.38+8.78-3</f>
        <v>41.22</v>
      </c>
      <c r="H16" s="17">
        <v>4.1</v>
      </c>
      <c r="I16" s="17">
        <v>10000.0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18">
        <v>46176.0</v>
      </c>
      <c r="B17" s="15" t="s">
        <v>133</v>
      </c>
      <c r="C17" s="11"/>
      <c r="D17" s="19">
        <v>45000.0</v>
      </c>
      <c r="E17" s="4"/>
      <c r="F17" s="16">
        <v>46185.0</v>
      </c>
      <c r="G17" s="4">
        <f>8.82+7.52+9.14+8.38+8.54-3</f>
        <v>39.4</v>
      </c>
      <c r="H17" s="4">
        <f>6.16-0.6</f>
        <v>5.56</v>
      </c>
      <c r="I17" s="17">
        <v>10000.0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5" t="s">
        <v>139</v>
      </c>
      <c r="C18" s="11"/>
      <c r="D18" s="19">
        <v>50000.0</v>
      </c>
      <c r="E18" s="4"/>
      <c r="F18" s="16">
        <v>46186.0</v>
      </c>
      <c r="G18" s="4">
        <f>17.66+17.8+2.6-2.85</f>
        <v>35.21</v>
      </c>
      <c r="H18" s="4">
        <f>3.9-0.6</f>
        <v>3.3</v>
      </c>
      <c r="I18" s="17">
        <v>10000.0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5" t="s">
        <v>9</v>
      </c>
      <c r="C19" s="11"/>
      <c r="D19" s="19">
        <v>15000.0</v>
      </c>
      <c r="E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8">
        <v>46177.0</v>
      </c>
      <c r="B20" s="15" t="s">
        <v>139</v>
      </c>
      <c r="C20" s="11"/>
      <c r="D20" s="19">
        <v>50000.0</v>
      </c>
      <c r="E20" s="4"/>
      <c r="F20" s="16">
        <v>46189.0</v>
      </c>
      <c r="G20" s="4">
        <f>10.02+9.2+9.36+9.08-2.4</f>
        <v>35.26</v>
      </c>
      <c r="H20" s="4">
        <f>3.58-0.6</f>
        <v>2.98</v>
      </c>
      <c r="I20" s="17">
        <v>10000.0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5" t="s">
        <v>9</v>
      </c>
      <c r="C21" s="11"/>
      <c r="D21" s="19">
        <v>15000.0</v>
      </c>
      <c r="E21" s="4"/>
      <c r="F21" s="16">
        <v>46190.0</v>
      </c>
      <c r="G21" s="4">
        <f>17.84+17+7.28-3</f>
        <v>39.12</v>
      </c>
      <c r="H21" s="17">
        <v>3.4</v>
      </c>
      <c r="I21" s="17">
        <v>10000.0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5" t="s">
        <v>181</v>
      </c>
      <c r="C22" s="11"/>
      <c r="D22" s="19">
        <v>30000.0</v>
      </c>
      <c r="E22" s="4"/>
      <c r="F22" s="16">
        <v>46191.0</v>
      </c>
      <c r="G22" s="4">
        <f>17.65+18+8.7-3</f>
        <v>41.35</v>
      </c>
      <c r="H22" s="17">
        <v>3.7</v>
      </c>
      <c r="I22" s="17">
        <v>10000.0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5" t="s">
        <v>28</v>
      </c>
      <c r="C23" s="11"/>
      <c r="D23" s="19">
        <v>21000.0</v>
      </c>
      <c r="E23" s="4"/>
      <c r="F23" s="16">
        <v>46192.0</v>
      </c>
      <c r="G23" s="17">
        <v>41.45</v>
      </c>
      <c r="H23" s="17">
        <v>3.7</v>
      </c>
      <c r="I23" s="17">
        <v>10000.0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18">
        <v>46178.0</v>
      </c>
      <c r="B24" s="15" t="s">
        <v>139</v>
      </c>
      <c r="C24" s="11"/>
      <c r="D24" s="19">
        <v>50000.0</v>
      </c>
      <c r="E24" s="4"/>
      <c r="F24" s="16">
        <v>46193.0</v>
      </c>
      <c r="G24" s="4">
        <f>18.75+17.9+8.8-3</f>
        <v>42.45</v>
      </c>
      <c r="H24" s="17">
        <v>3.7</v>
      </c>
      <c r="I24" s="17">
        <v>10000.0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5" t="s">
        <v>9</v>
      </c>
      <c r="C25" s="11"/>
      <c r="D25" s="19">
        <v>15000.0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5" t="s">
        <v>182</v>
      </c>
      <c r="C26" s="11"/>
      <c r="D26" s="19">
        <v>1000000.0</v>
      </c>
      <c r="E26" s="4"/>
      <c r="F26" s="16">
        <v>46195.0</v>
      </c>
      <c r="G26" s="17">
        <f>18.22+17.84+8.98</f>
        <v>45.04</v>
      </c>
      <c r="H26" s="17">
        <v>3.96</v>
      </c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5" t="s">
        <v>183</v>
      </c>
      <c r="C27" s="11"/>
      <c r="D27" s="19">
        <v>50000.0</v>
      </c>
      <c r="E27" s="4"/>
      <c r="F27" s="22">
        <v>46197.0</v>
      </c>
      <c r="G27" s="4">
        <f>19.35+18.6-1.83</f>
        <v>36.12</v>
      </c>
      <c r="H27" s="17">
        <v>2.1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18">
        <v>46179.0</v>
      </c>
      <c r="B28" s="15" t="s">
        <v>139</v>
      </c>
      <c r="C28" s="11"/>
      <c r="D28" s="19">
        <v>50000.0</v>
      </c>
      <c r="E28" s="4"/>
      <c r="F28" s="16">
        <v>46198.0</v>
      </c>
      <c r="G28" s="4">
        <f>18.45+18.5+12.15-3.3</f>
        <v>45.8</v>
      </c>
      <c r="H28" s="17">
        <v>2.9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5" t="s">
        <v>9</v>
      </c>
      <c r="C29" s="11"/>
      <c r="D29" s="19">
        <v>15000.0</v>
      </c>
      <c r="E29" s="4"/>
      <c r="F29" s="16">
        <v>46199.0</v>
      </c>
      <c r="G29" s="4">
        <f>18.04+18.42+12.32-2.8</f>
        <v>45.98</v>
      </c>
      <c r="H29" s="17">
        <v>3.0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5" t="s">
        <v>28</v>
      </c>
      <c r="C30" s="19">
        <v>108000.0</v>
      </c>
      <c r="D30" s="11"/>
      <c r="E30" s="4"/>
      <c r="F30" s="16">
        <v>46200.0</v>
      </c>
      <c r="G30" s="4">
        <f>19.1+12.18+18.64-3.3</f>
        <v>46.62</v>
      </c>
      <c r="H30" s="4">
        <f>3.9-0.6</f>
        <v>3.3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5" t="s">
        <v>41</v>
      </c>
      <c r="C31" s="11"/>
      <c r="D31" s="19">
        <v>60000.0</v>
      </c>
      <c r="E31" s="17"/>
      <c r="F31" s="17"/>
      <c r="G31" s="1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18">
        <v>46181.0</v>
      </c>
      <c r="B32" s="15" t="s">
        <v>28</v>
      </c>
      <c r="C32" s="19">
        <v>50500.0</v>
      </c>
      <c r="D32" s="11"/>
      <c r="E32" s="4"/>
      <c r="F32" s="16">
        <v>46203.0</v>
      </c>
      <c r="G32" s="4">
        <f>19.02+9.5+9.22+9.5-3</f>
        <v>44.24</v>
      </c>
      <c r="H32" s="4">
        <f>3.1-0.6</f>
        <v>2.5</v>
      </c>
      <c r="I32" s="17">
        <v>10000.0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5" t="s">
        <v>139</v>
      </c>
      <c r="C33" s="11"/>
      <c r="D33" s="19">
        <v>50000.0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5" t="s">
        <v>9</v>
      </c>
      <c r="C34" s="11"/>
      <c r="D34" s="19">
        <v>15000.0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18">
        <v>46182.0</v>
      </c>
      <c r="B35" s="15" t="s">
        <v>139</v>
      </c>
      <c r="C35" s="11"/>
      <c r="D35" s="19">
        <v>50000.0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5" t="s">
        <v>9</v>
      </c>
      <c r="C36" s="11"/>
      <c r="D36" s="19">
        <v>15000.0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5" t="s">
        <v>184</v>
      </c>
      <c r="C37" s="19">
        <v>30000.0</v>
      </c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18">
        <v>46183.0</v>
      </c>
      <c r="B38" s="15" t="s">
        <v>139</v>
      </c>
      <c r="C38" s="11"/>
      <c r="D38" s="19">
        <v>50000.0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5" t="s">
        <v>9</v>
      </c>
      <c r="C39" s="11"/>
      <c r="D39" s="19">
        <v>15000.0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18">
        <v>46184.0</v>
      </c>
      <c r="B40" s="15" t="s">
        <v>139</v>
      </c>
      <c r="C40" s="11"/>
      <c r="D40" s="19">
        <v>50000.0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5" t="s">
        <v>9</v>
      </c>
      <c r="C41" s="11"/>
      <c r="D41" s="19">
        <v>15000.0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5" t="s">
        <v>21</v>
      </c>
      <c r="C42" s="19">
        <v>300000.0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18">
        <v>46185.0</v>
      </c>
      <c r="B43" s="15" t="s">
        <v>139</v>
      </c>
      <c r="C43" s="11"/>
      <c r="D43" s="19">
        <v>50000.0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5" t="s">
        <v>9</v>
      </c>
      <c r="C44" s="11"/>
      <c r="D44" s="19">
        <v>15000.0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18">
        <v>46186.0</v>
      </c>
      <c r="B45" s="15" t="s">
        <v>139</v>
      </c>
      <c r="C45" s="11"/>
      <c r="D45" s="19">
        <v>50000.0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5" t="s">
        <v>9</v>
      </c>
      <c r="C46" s="11"/>
      <c r="D46" s="19">
        <v>15000.0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5" t="s">
        <v>41</v>
      </c>
      <c r="C47" s="11"/>
      <c r="D47" s="19">
        <v>60000.0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5" t="s">
        <v>28</v>
      </c>
      <c r="C48" s="19">
        <v>11000.0</v>
      </c>
      <c r="D48" s="11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18">
        <v>46187.0</v>
      </c>
      <c r="B49" s="15" t="s">
        <v>21</v>
      </c>
      <c r="C49" s="19">
        <v>1786000.0</v>
      </c>
      <c r="D49" s="11"/>
      <c r="E49" s="17"/>
      <c r="F49" s="1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5" t="s">
        <v>185</v>
      </c>
      <c r="C50" s="11"/>
      <c r="D50" s="11">
        <f>94*19000</f>
        <v>1786000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18">
        <v>46188.0</v>
      </c>
      <c r="B51" s="15" t="s">
        <v>186</v>
      </c>
      <c r="C51" s="11"/>
      <c r="D51" s="19">
        <v>12000.0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5" t="s">
        <v>9</v>
      </c>
      <c r="C52" s="11"/>
      <c r="D52" s="19">
        <v>15000.0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5" t="s">
        <v>143</v>
      </c>
      <c r="C53" s="19">
        <v>6000.0</v>
      </c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18">
        <v>46189.0</v>
      </c>
      <c r="B54" s="15" t="s">
        <v>28</v>
      </c>
      <c r="C54" s="11">
        <f>65500+20000</f>
        <v>85500</v>
      </c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5" t="s">
        <v>139</v>
      </c>
      <c r="C55" s="11"/>
      <c r="D55" s="19">
        <v>50000.0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5" t="s">
        <v>9</v>
      </c>
      <c r="C56" s="11"/>
      <c r="D56" s="19">
        <v>15000.0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15" t="s">
        <v>187</v>
      </c>
      <c r="B57" s="15" t="s">
        <v>47</v>
      </c>
      <c r="C57" s="19">
        <v>108000.0</v>
      </c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5" t="s">
        <v>9</v>
      </c>
      <c r="C58" s="11"/>
      <c r="D58" s="19">
        <v>15000.0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5" t="s">
        <v>139</v>
      </c>
      <c r="C59" s="11"/>
      <c r="D59" s="19">
        <v>50000.0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18">
        <v>46191.0</v>
      </c>
      <c r="B60" s="15" t="s">
        <v>188</v>
      </c>
      <c r="C60" s="11"/>
      <c r="D60" s="19">
        <v>50000.0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5" t="s">
        <v>9</v>
      </c>
      <c r="C61" s="11"/>
      <c r="D61" s="19">
        <v>15000.0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5" t="s">
        <v>47</v>
      </c>
      <c r="C62" s="19">
        <v>30000.0</v>
      </c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18">
        <v>46192.0</v>
      </c>
      <c r="B63" s="15" t="s">
        <v>21</v>
      </c>
      <c r="C63" s="19">
        <v>3000000.0</v>
      </c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23" t="s">
        <v>189</v>
      </c>
      <c r="C64" s="11"/>
      <c r="D64" s="24">
        <v>3000000.0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5" t="s">
        <v>188</v>
      </c>
      <c r="C65" s="11"/>
      <c r="D65" s="19">
        <v>50000.0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5" t="s">
        <v>9</v>
      </c>
      <c r="C66" s="11"/>
      <c r="D66" s="19">
        <v>15000.0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18">
        <v>46193.0</v>
      </c>
      <c r="B67" s="15" t="s">
        <v>9</v>
      </c>
      <c r="C67" s="11"/>
      <c r="D67" s="19">
        <v>15000.0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5" t="s">
        <v>188</v>
      </c>
      <c r="C68" s="11"/>
      <c r="D68" s="19">
        <v>50000.0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5" t="s">
        <v>41</v>
      </c>
      <c r="C69" s="11"/>
      <c r="D69" s="19">
        <v>50000.0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5" t="s">
        <v>21</v>
      </c>
      <c r="C70" s="19">
        <v>1000000.0</v>
      </c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5" t="s">
        <v>190</v>
      </c>
      <c r="C71" s="11"/>
      <c r="D71" s="11">
        <f>45000*6.2*8</f>
        <v>2232000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5" t="s">
        <v>21</v>
      </c>
      <c r="C72" s="19">
        <v>2232000.0</v>
      </c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18">
        <v>46195.0</v>
      </c>
      <c r="B73" s="15" t="s">
        <v>188</v>
      </c>
      <c r="C73" s="11"/>
      <c r="D73" s="19">
        <v>50000.0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5" t="s">
        <v>9</v>
      </c>
      <c r="C74" s="11"/>
      <c r="D74" s="19">
        <v>15000.0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5" t="s">
        <v>191</v>
      </c>
      <c r="C75" s="11"/>
      <c r="D75" s="19">
        <v>2068800.0</v>
      </c>
      <c r="E75" s="17" t="s">
        <v>192</v>
      </c>
      <c r="F75" s="17" t="s">
        <v>193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5" t="s">
        <v>21</v>
      </c>
      <c r="C76" s="19">
        <v>2068800.0</v>
      </c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18">
        <v>46196.0</v>
      </c>
      <c r="B77" s="15" t="s">
        <v>9</v>
      </c>
      <c r="C77" s="11"/>
      <c r="D77" s="19">
        <v>15000.0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18">
        <v>46197.0</v>
      </c>
      <c r="B78" s="15" t="s">
        <v>9</v>
      </c>
      <c r="C78" s="11"/>
      <c r="D78" s="19">
        <v>15000.0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5" t="s">
        <v>188</v>
      </c>
      <c r="C79" s="11"/>
      <c r="D79" s="19">
        <v>50000.0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5" t="s">
        <v>194</v>
      </c>
      <c r="C80" s="11"/>
      <c r="D80" s="19">
        <v>45000.0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18">
        <v>46198.0</v>
      </c>
      <c r="B81" s="15" t="s">
        <v>47</v>
      </c>
      <c r="C81" s="11">
        <f>108000+20000+13500</f>
        <v>141500</v>
      </c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5" t="s">
        <v>9</v>
      </c>
      <c r="C82" s="11"/>
      <c r="D82" s="19">
        <v>15000.0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5" t="s">
        <v>188</v>
      </c>
      <c r="C83" s="11"/>
      <c r="D83" s="19">
        <v>50000.0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18">
        <v>46199.0</v>
      </c>
      <c r="B84" s="15" t="s">
        <v>28</v>
      </c>
      <c r="C84" s="19">
        <v>30000.0</v>
      </c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5" t="s">
        <v>139</v>
      </c>
      <c r="C85" s="11"/>
      <c r="D85" s="19">
        <v>50000.0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5" t="s">
        <v>9</v>
      </c>
      <c r="C86" s="11"/>
      <c r="D86" s="19">
        <v>15000.0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18">
        <v>46200.0</v>
      </c>
      <c r="B87" s="15" t="s">
        <v>139</v>
      </c>
      <c r="C87" s="11"/>
      <c r="D87" s="19">
        <v>50000.0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5" t="s">
        <v>41</v>
      </c>
      <c r="C88" s="11"/>
      <c r="D88" s="19">
        <v>50000.0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5" t="s">
        <v>9</v>
      </c>
      <c r="C89" s="11"/>
      <c r="D89" s="19">
        <v>15000.0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5" t="s">
        <v>47</v>
      </c>
      <c r="C90" s="19">
        <v>277000.0</v>
      </c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5" t="s">
        <v>21</v>
      </c>
      <c r="C91" s="19">
        <v>400000.0</v>
      </c>
      <c r="D91" s="1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18">
        <v>46202.0</v>
      </c>
      <c r="B92" s="15" t="s">
        <v>47</v>
      </c>
      <c r="C92" s="19">
        <v>20000.0</v>
      </c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18">
        <v>46203.0</v>
      </c>
      <c r="B93" s="15" t="s">
        <v>139</v>
      </c>
      <c r="C93" s="11"/>
      <c r="D93" s="19">
        <v>50000.0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5" t="s">
        <v>100</v>
      </c>
      <c r="C94" s="11"/>
      <c r="D94" s="19">
        <v>2471000.0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5" t="s">
        <v>69</v>
      </c>
      <c r="C95" s="19">
        <v>50000.0</v>
      </c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5"/>
      <c r="C96" s="11">
        <f t="shared" ref="C96:D96" si="1">SUM(C2:C95)</f>
        <v>27353550</v>
      </c>
      <c r="D96" s="19">
        <f t="shared" si="1"/>
        <v>26559050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5" t="s">
        <v>5</v>
      </c>
      <c r="C97" s="11">
        <f>C96-D96</f>
        <v>794500</v>
      </c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18"/>
      <c r="B98" s="15"/>
      <c r="C98" s="19"/>
      <c r="D98" s="1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5"/>
      <c r="C99" s="19"/>
      <c r="D99" s="1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5"/>
      <c r="C100" s="11"/>
      <c r="D100" s="1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8">
        <v>46203.0</v>
      </c>
      <c r="B3" s="15" t="s">
        <v>5</v>
      </c>
      <c r="C3" s="19">
        <v>794500.0</v>
      </c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5" t="s">
        <v>21</v>
      </c>
      <c r="C4" s="19">
        <v>550000.0</v>
      </c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25">
        <v>46204.0</v>
      </c>
      <c r="B5" s="26" t="s">
        <v>139</v>
      </c>
      <c r="C5" s="27"/>
      <c r="D5" s="28">
        <v>50000.0</v>
      </c>
      <c r="E5" s="4"/>
      <c r="F5" s="29">
        <v>46204.0</v>
      </c>
      <c r="G5" s="30">
        <f>18.5+19+9.8</f>
        <v>47.3</v>
      </c>
      <c r="H5" s="30">
        <v>3.18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31"/>
      <c r="B6" s="26" t="s">
        <v>179</v>
      </c>
      <c r="C6" s="27"/>
      <c r="D6" s="28">
        <v>5000.0</v>
      </c>
      <c r="E6" s="4"/>
      <c r="F6" s="16">
        <v>46205.0</v>
      </c>
      <c r="G6" s="4">
        <f>9.32+9.88+8.86+9.06+9.56</f>
        <v>46.68</v>
      </c>
      <c r="H6" s="17">
        <v>2.82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31"/>
      <c r="B7" s="26" t="s">
        <v>9</v>
      </c>
      <c r="C7" s="27"/>
      <c r="D7" s="28">
        <v>15000.0</v>
      </c>
      <c r="E7" s="4"/>
      <c r="F7" s="16">
        <v>46206.0</v>
      </c>
      <c r="G7" s="4">
        <f>17.32+17.56+11.26</f>
        <v>46.14</v>
      </c>
      <c r="H7" s="17">
        <v>4.02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8">
        <v>46205.0</v>
      </c>
      <c r="B8" s="15" t="s">
        <v>195</v>
      </c>
      <c r="C8" s="19">
        <v>30000.0</v>
      </c>
      <c r="D8" s="11"/>
      <c r="E8" s="4"/>
      <c r="F8" s="16">
        <v>46207.0</v>
      </c>
      <c r="G8" s="4">
        <f>18.66+13.8+18.44</f>
        <v>50.9</v>
      </c>
      <c r="H8" s="17">
        <v>4.64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5" t="s">
        <v>139</v>
      </c>
      <c r="C9" s="11"/>
      <c r="D9" s="19">
        <v>50000.0</v>
      </c>
      <c r="E9" s="4"/>
      <c r="F9" s="16">
        <v>46210.0</v>
      </c>
      <c r="G9" s="4">
        <f>18.76+18.58+9.62-0.18</f>
        <v>46.78</v>
      </c>
      <c r="H9" s="17">
        <f>3.18-0.06</f>
        <v>3.12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5" t="s">
        <v>9</v>
      </c>
      <c r="C10" s="11"/>
      <c r="D10" s="19">
        <v>15000.0</v>
      </c>
      <c r="E10" s="4"/>
      <c r="F10" s="16">
        <v>46211.0</v>
      </c>
      <c r="G10" s="4">
        <f>18.94-0.28+19.18-0.3+9.24-0.3</f>
        <v>46.48</v>
      </c>
      <c r="H10" s="17">
        <v>3.1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18">
        <v>46206.0</v>
      </c>
      <c r="B11" s="15" t="s">
        <v>139</v>
      </c>
      <c r="C11" s="11"/>
      <c r="D11" s="19">
        <v>50000.0</v>
      </c>
      <c r="E11" s="4"/>
      <c r="F11" s="16">
        <v>46212.0</v>
      </c>
      <c r="G11" s="4">
        <f>18.9-0.06+18.78-0.1+9.38-0.1</f>
        <v>46.8</v>
      </c>
      <c r="H11" s="4">
        <f>2.84-0.1</f>
        <v>2.74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5" t="s">
        <v>9</v>
      </c>
      <c r="C12" s="11"/>
      <c r="D12" s="19">
        <v>15000.0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18">
        <v>46207.0</v>
      </c>
      <c r="B13" s="15" t="s">
        <v>139</v>
      </c>
      <c r="C13" s="11"/>
      <c r="D13" s="19">
        <v>50000.0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5" t="s">
        <v>9</v>
      </c>
      <c r="C14" s="11"/>
      <c r="D14" s="19">
        <v>15000.0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18">
        <v>46209.0</v>
      </c>
      <c r="B15" s="15" t="s">
        <v>9</v>
      </c>
      <c r="C15" s="11"/>
      <c r="D15" s="19">
        <v>15000.0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8">
        <v>46210.0</v>
      </c>
      <c r="B16" s="15" t="s">
        <v>139</v>
      </c>
      <c r="C16" s="11"/>
      <c r="D16" s="19">
        <v>50000.0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5" t="s">
        <v>9</v>
      </c>
      <c r="C17" s="11"/>
      <c r="D17" s="19">
        <v>15000.0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5" t="s">
        <v>47</v>
      </c>
      <c r="C18" s="19">
        <v>20000.0</v>
      </c>
      <c r="D18" s="1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18">
        <v>46211.0</v>
      </c>
      <c r="B19" s="15" t="s">
        <v>139</v>
      </c>
      <c r="C19" s="11"/>
      <c r="D19" s="19">
        <v>50000.0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5" t="s">
        <v>9</v>
      </c>
      <c r="C20" s="11"/>
      <c r="D20" s="19">
        <v>15000.0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5" t="s">
        <v>47</v>
      </c>
      <c r="C21" s="19">
        <v>20000.0</v>
      </c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5" t="s">
        <v>195</v>
      </c>
      <c r="C22" s="19">
        <v>30000.0</v>
      </c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18">
        <v>46212.0</v>
      </c>
      <c r="B23" s="15" t="s">
        <v>9</v>
      </c>
      <c r="C23" s="11"/>
      <c r="D23" s="19">
        <v>15000.0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5" t="s">
        <v>139</v>
      </c>
      <c r="C24" s="11"/>
      <c r="D24" s="19">
        <v>50000.0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5" t="s">
        <v>21</v>
      </c>
      <c r="C25" s="19">
        <v>1000000.0</v>
      </c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9.5" customHeight="1">
      <c r="A1001" s="9"/>
      <c r="B1001" s="10"/>
      <c r="C1001" s="11"/>
      <c r="D1001" s="11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1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1"/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/>
      <c r="C11" s="11"/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/>
      <c r="C18" s="11"/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/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/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1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1"/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/>
      <c r="C11" s="11"/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/>
      <c r="C18" s="11"/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/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/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1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1"/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/>
      <c r="C11" s="11"/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/>
      <c r="C18" s="11"/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/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/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1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1"/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/>
      <c r="C11" s="11"/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/>
      <c r="C18" s="11"/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/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/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CECE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20.86"/>
    <col customWidth="1" min="4" max="4" width="21.57"/>
    <col customWidth="1" min="5" max="26" width="18.71"/>
  </cols>
  <sheetData>
    <row r="1" ht="22.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6" t="s">
        <v>2</v>
      </c>
      <c r="C2" s="7" t="s">
        <v>3</v>
      </c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/>
      <c r="B3" s="10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9"/>
      <c r="B4" s="10"/>
      <c r="C4" s="11"/>
      <c r="D4" s="11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9"/>
      <c r="B5" s="10"/>
      <c r="C5" s="11"/>
      <c r="D5" s="11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9"/>
      <c r="B6" s="10"/>
      <c r="C6" s="11"/>
      <c r="D6" s="1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9"/>
      <c r="B7" s="10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9"/>
      <c r="B8" s="10"/>
      <c r="C8" s="11"/>
      <c r="D8" s="11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9"/>
      <c r="B9" s="10"/>
      <c r="C9" s="11"/>
      <c r="D9" s="11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/>
      <c r="B10" s="10"/>
      <c r="C10" s="11"/>
      <c r="D10" s="11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9"/>
      <c r="B11" s="10"/>
      <c r="C11" s="11"/>
      <c r="D11" s="11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9"/>
      <c r="B12" s="10"/>
      <c r="C12" s="11"/>
      <c r="D12" s="11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9"/>
      <c r="B13" s="10"/>
      <c r="C13" s="11"/>
      <c r="D13" s="1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9"/>
      <c r="B14" s="10"/>
      <c r="C14" s="11"/>
      <c r="D14" s="1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9"/>
      <c r="B15" s="10"/>
      <c r="C15" s="11"/>
      <c r="D15" s="11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9"/>
      <c r="B16" s="10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9"/>
      <c r="B17" s="10"/>
      <c r="C17" s="11"/>
      <c r="D17" s="11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9"/>
      <c r="B18" s="10"/>
      <c r="C18" s="11"/>
      <c r="D18" s="11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9"/>
      <c r="B19" s="10"/>
      <c r="C19" s="11"/>
      <c r="D19" s="11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9"/>
      <c r="B20" s="10"/>
      <c r="C20" s="11"/>
      <c r="D20" s="11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9"/>
      <c r="B21" s="10"/>
      <c r="C21" s="11"/>
      <c r="D21" s="11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9"/>
      <c r="B22" s="10"/>
      <c r="C22" s="11"/>
      <c r="D22" s="11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9"/>
      <c r="B23" s="10"/>
      <c r="C23" s="11"/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9.5" customHeight="1">
      <c r="A24" s="9"/>
      <c r="B24" s="10"/>
      <c r="C24" s="11"/>
      <c r="D24" s="11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9.5" customHeight="1">
      <c r="A25" s="9"/>
      <c r="B25" s="10"/>
      <c r="C25" s="11"/>
      <c r="D25" s="11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9.5" customHeight="1">
      <c r="A26" s="9"/>
      <c r="B26" s="10"/>
      <c r="C26" s="11"/>
      <c r="D26" s="11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9.5" customHeight="1">
      <c r="A27" s="9"/>
      <c r="B27" s="10"/>
      <c r="C27" s="11"/>
      <c r="D27" s="11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9"/>
      <c r="B28" s="10"/>
      <c r="C28" s="11"/>
      <c r="D28" s="11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9"/>
      <c r="B29" s="10"/>
      <c r="C29" s="11"/>
      <c r="D29" s="11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9"/>
      <c r="B30" s="10"/>
      <c r="C30" s="11"/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9"/>
      <c r="B31" s="10"/>
      <c r="C31" s="11"/>
      <c r="D31" s="11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9"/>
      <c r="B32" s="10"/>
      <c r="C32" s="11"/>
      <c r="D32" s="11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9"/>
      <c r="B33" s="10"/>
      <c r="C33" s="11"/>
      <c r="D33" s="11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9"/>
      <c r="B34" s="10"/>
      <c r="C34" s="11"/>
      <c r="D34" s="11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9"/>
      <c r="B35" s="10"/>
      <c r="C35" s="11"/>
      <c r="D35" s="11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9"/>
      <c r="B36" s="10"/>
      <c r="C36" s="11"/>
      <c r="D36" s="1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9"/>
      <c r="B37" s="10"/>
      <c r="C37" s="11"/>
      <c r="D37" s="1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9"/>
      <c r="B38" s="10"/>
      <c r="C38" s="11"/>
      <c r="D38" s="1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9"/>
      <c r="B39" s="10"/>
      <c r="C39" s="11"/>
      <c r="D39" s="1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9"/>
      <c r="B40" s="10"/>
      <c r="C40" s="11"/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9"/>
      <c r="B41" s="10"/>
      <c r="C41" s="11"/>
      <c r="D41" s="1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9"/>
      <c r="B42" s="10"/>
      <c r="C42" s="11"/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9"/>
      <c r="B43" s="10"/>
      <c r="C43" s="11"/>
      <c r="D43" s="1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9"/>
      <c r="B44" s="10"/>
      <c r="C44" s="11"/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9"/>
      <c r="B45" s="10"/>
      <c r="C45" s="11"/>
      <c r="D45" s="1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9"/>
      <c r="B46" s="10"/>
      <c r="C46" s="11"/>
      <c r="D46" s="1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9"/>
      <c r="B47" s="10"/>
      <c r="C47" s="11"/>
      <c r="D47" s="1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9"/>
      <c r="B48" s="10"/>
      <c r="C48" s="11"/>
      <c r="D48" s="1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9"/>
      <c r="B49" s="10"/>
      <c r="C49" s="11"/>
      <c r="D49" s="1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9"/>
      <c r="B50" s="10"/>
      <c r="C50" s="11"/>
      <c r="D50" s="1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9"/>
      <c r="B51" s="10"/>
      <c r="C51" s="11"/>
      <c r="D51" s="1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9"/>
      <c r="B52" s="10"/>
      <c r="C52" s="11"/>
      <c r="D52" s="1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9"/>
      <c r="B53" s="10"/>
      <c r="C53" s="11"/>
      <c r="D53" s="1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9"/>
      <c r="B54" s="10"/>
      <c r="C54" s="11"/>
      <c r="D54" s="1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9"/>
      <c r="B55" s="10"/>
      <c r="C55" s="11"/>
      <c r="D55" s="1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9"/>
      <c r="B56" s="10"/>
      <c r="C56" s="11"/>
      <c r="D56" s="1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9"/>
      <c r="B57" s="10"/>
      <c r="C57" s="11"/>
      <c r="D57" s="1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9"/>
      <c r="B58" s="10"/>
      <c r="C58" s="11"/>
      <c r="D58" s="1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9"/>
      <c r="B59" s="10"/>
      <c r="C59" s="11"/>
      <c r="D59" s="1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9"/>
      <c r="B60" s="10"/>
      <c r="C60" s="11"/>
      <c r="D60" s="1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9"/>
      <c r="B61" s="10"/>
      <c r="C61" s="11"/>
      <c r="D61" s="11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9"/>
      <c r="B62" s="10"/>
      <c r="C62" s="11"/>
      <c r="D62" s="11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9"/>
      <c r="B63" s="10"/>
      <c r="C63" s="11"/>
      <c r="D63" s="11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9"/>
      <c r="B64" s="10"/>
      <c r="C64" s="11"/>
      <c r="D64" s="11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9"/>
      <c r="B65" s="10"/>
      <c r="C65" s="11"/>
      <c r="D65" s="11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9"/>
      <c r="B66" s="10"/>
      <c r="C66" s="11"/>
      <c r="D66" s="11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9"/>
      <c r="B67" s="10"/>
      <c r="C67" s="11"/>
      <c r="D67" s="11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9"/>
      <c r="B68" s="10"/>
      <c r="C68" s="11"/>
      <c r="D68" s="11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9"/>
      <c r="B69" s="10"/>
      <c r="C69" s="11"/>
      <c r="D69" s="11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9"/>
      <c r="B70" s="10"/>
      <c r="C70" s="11"/>
      <c r="D70" s="11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9"/>
      <c r="B71" s="10"/>
      <c r="C71" s="11"/>
      <c r="D71" s="11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9"/>
      <c r="B72" s="10"/>
      <c r="C72" s="11"/>
      <c r="D72" s="11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9"/>
      <c r="B73" s="10"/>
      <c r="C73" s="11"/>
      <c r="D73" s="11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9"/>
      <c r="B74" s="10"/>
      <c r="C74" s="11"/>
      <c r="D74" s="11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9"/>
      <c r="B75" s="10"/>
      <c r="C75" s="11"/>
      <c r="D75" s="11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9"/>
      <c r="B76" s="10"/>
      <c r="C76" s="11"/>
      <c r="D76" s="11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9"/>
      <c r="B77" s="10"/>
      <c r="C77" s="11"/>
      <c r="D77" s="11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9"/>
      <c r="B78" s="10"/>
      <c r="C78" s="11"/>
      <c r="D78" s="1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9"/>
      <c r="B79" s="10"/>
      <c r="C79" s="11"/>
      <c r="D79" s="1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9"/>
      <c r="B80" s="10"/>
      <c r="C80" s="11"/>
      <c r="D80" s="1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9.5" customHeight="1">
      <c r="A81" s="9"/>
      <c r="B81" s="10"/>
      <c r="C81" s="11"/>
      <c r="D81" s="11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9.5" customHeight="1">
      <c r="A82" s="9"/>
      <c r="B82" s="10"/>
      <c r="C82" s="11"/>
      <c r="D82" s="11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9.5" customHeight="1">
      <c r="A83" s="9"/>
      <c r="B83" s="10"/>
      <c r="C83" s="11"/>
      <c r="D83" s="11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9.5" customHeight="1">
      <c r="A84" s="9"/>
      <c r="B84" s="10"/>
      <c r="C84" s="11"/>
      <c r="D84" s="11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9.5" customHeight="1">
      <c r="A85" s="9"/>
      <c r="B85" s="10"/>
      <c r="C85" s="11"/>
      <c r="D85" s="11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9"/>
      <c r="B86" s="10"/>
      <c r="C86" s="11"/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9"/>
      <c r="B87" s="10"/>
      <c r="C87" s="11"/>
      <c r="D87" s="11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9"/>
      <c r="B88" s="10"/>
      <c r="C88" s="11"/>
      <c r="D88" s="11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9"/>
      <c r="B89" s="10"/>
      <c r="C89" s="11"/>
      <c r="D89" s="11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9"/>
      <c r="B90" s="10"/>
      <c r="C90" s="11"/>
      <c r="D90" s="11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9"/>
      <c r="B91" s="10"/>
      <c r="C91" s="11"/>
      <c r="D91" s="11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9"/>
      <c r="B92" s="10"/>
      <c r="C92" s="11"/>
      <c r="D92" s="11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9"/>
      <c r="B93" s="10"/>
      <c r="C93" s="11"/>
      <c r="D93" s="11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9"/>
      <c r="B94" s="10"/>
      <c r="C94" s="11"/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9"/>
      <c r="B95" s="10"/>
      <c r="C95" s="11"/>
      <c r="D95" s="11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9"/>
      <c r="B96" s="10"/>
      <c r="C96" s="11"/>
      <c r="D96" s="11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9"/>
      <c r="B97" s="10"/>
      <c r="C97" s="11"/>
      <c r="D97" s="11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9"/>
      <c r="B98" s="10"/>
      <c r="C98" s="11"/>
      <c r="D98" s="11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9"/>
      <c r="B99" s="10"/>
      <c r="C99" s="11"/>
      <c r="D99" s="11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9"/>
      <c r="B100" s="10"/>
      <c r="C100" s="11"/>
      <c r="D100" s="1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9"/>
      <c r="B101" s="10"/>
      <c r="C101" s="11"/>
      <c r="D101" s="1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9"/>
      <c r="B102" s="10"/>
      <c r="C102" s="11"/>
      <c r="D102" s="1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9"/>
      <c r="B103" s="10"/>
      <c r="C103" s="11"/>
      <c r="D103" s="1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9"/>
      <c r="B104" s="10"/>
      <c r="C104" s="11"/>
      <c r="D104" s="1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9"/>
      <c r="B105" s="10"/>
      <c r="C105" s="11"/>
      <c r="D105" s="1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9"/>
      <c r="B106" s="10"/>
      <c r="C106" s="11"/>
      <c r="D106" s="1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9"/>
      <c r="B107" s="10"/>
      <c r="C107" s="11"/>
      <c r="D107" s="1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9"/>
      <c r="B108" s="10"/>
      <c r="C108" s="11"/>
      <c r="D108" s="1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9"/>
      <c r="B109" s="10"/>
      <c r="C109" s="11"/>
      <c r="D109" s="1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9"/>
      <c r="B110" s="10"/>
      <c r="C110" s="11"/>
      <c r="D110" s="1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9"/>
      <c r="B111" s="10"/>
      <c r="C111" s="11"/>
      <c r="D111" s="1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9"/>
      <c r="B112" s="10"/>
      <c r="C112" s="11"/>
      <c r="D112" s="1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9"/>
      <c r="B113" s="10"/>
      <c r="C113" s="11"/>
      <c r="D113" s="1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9"/>
      <c r="B114" s="10"/>
      <c r="C114" s="11"/>
      <c r="D114" s="1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9"/>
      <c r="B115" s="10"/>
      <c r="C115" s="11"/>
      <c r="D115" s="1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9"/>
      <c r="B116" s="10"/>
      <c r="C116" s="11"/>
      <c r="D116" s="1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9"/>
      <c r="B117" s="10"/>
      <c r="C117" s="11"/>
      <c r="D117" s="1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9"/>
      <c r="B118" s="10"/>
      <c r="C118" s="11"/>
      <c r="D118" s="1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9"/>
      <c r="B119" s="10"/>
      <c r="C119" s="11"/>
      <c r="D119" s="1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9"/>
      <c r="B120" s="10"/>
      <c r="C120" s="11"/>
      <c r="D120" s="1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9"/>
      <c r="B121" s="10"/>
      <c r="C121" s="11"/>
      <c r="D121" s="1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9"/>
      <c r="B122" s="10"/>
      <c r="C122" s="11"/>
      <c r="D122" s="1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9"/>
      <c r="B123" s="10"/>
      <c r="C123" s="11"/>
      <c r="D123" s="1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9"/>
      <c r="B124" s="10"/>
      <c r="C124" s="11"/>
      <c r="D124" s="1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9.5" customHeight="1">
      <c r="A125" s="9"/>
      <c r="B125" s="10"/>
      <c r="C125" s="11"/>
      <c r="D125" s="1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9.5" customHeight="1">
      <c r="A126" s="9"/>
      <c r="B126" s="10"/>
      <c r="C126" s="11"/>
      <c r="D126" s="1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9.5" customHeight="1">
      <c r="A127" s="9"/>
      <c r="B127" s="10"/>
      <c r="C127" s="11"/>
      <c r="D127" s="1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9.5" customHeight="1">
      <c r="A128" s="9"/>
      <c r="B128" s="10"/>
      <c r="C128" s="11"/>
      <c r="D128" s="1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9.5" customHeight="1">
      <c r="A129" s="9"/>
      <c r="B129" s="10"/>
      <c r="C129" s="11"/>
      <c r="D129" s="1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9.5" customHeight="1">
      <c r="A130" s="9"/>
      <c r="B130" s="10"/>
      <c r="C130" s="11"/>
      <c r="D130" s="1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9.5" customHeight="1">
      <c r="A131" s="9"/>
      <c r="B131" s="10"/>
      <c r="C131" s="11"/>
      <c r="D131" s="1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9"/>
      <c r="B132" s="10"/>
      <c r="C132" s="11"/>
      <c r="D132" s="1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9"/>
      <c r="B133" s="10"/>
      <c r="C133" s="11"/>
      <c r="D133" s="1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9"/>
      <c r="B134" s="10"/>
      <c r="C134" s="11"/>
      <c r="D134" s="1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9"/>
      <c r="B135" s="10"/>
      <c r="C135" s="11"/>
      <c r="D135" s="1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9"/>
      <c r="B136" s="10"/>
      <c r="C136" s="11"/>
      <c r="D136" s="1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9"/>
      <c r="B137" s="10"/>
      <c r="C137" s="11"/>
      <c r="D137" s="1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9"/>
      <c r="B138" s="10"/>
      <c r="C138" s="11"/>
      <c r="D138" s="1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9"/>
      <c r="B139" s="10"/>
      <c r="C139" s="11"/>
      <c r="D139" s="1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9"/>
      <c r="B140" s="10"/>
      <c r="C140" s="11"/>
      <c r="D140" s="1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9"/>
      <c r="B141" s="10"/>
      <c r="C141" s="11"/>
      <c r="D141" s="1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9"/>
      <c r="B142" s="10"/>
      <c r="C142" s="11"/>
      <c r="D142" s="1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9"/>
      <c r="B143" s="10"/>
      <c r="C143" s="11"/>
      <c r="D143" s="1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9"/>
      <c r="B144" s="10"/>
      <c r="C144" s="11"/>
      <c r="D144" s="1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9"/>
      <c r="B145" s="10"/>
      <c r="C145" s="11"/>
      <c r="D145" s="1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9"/>
      <c r="B146" s="10"/>
      <c r="C146" s="11"/>
      <c r="D146" s="1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9"/>
      <c r="B147" s="10"/>
      <c r="C147" s="11"/>
      <c r="D147" s="1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9"/>
      <c r="B148" s="10"/>
      <c r="C148" s="11"/>
      <c r="D148" s="1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9"/>
      <c r="B149" s="10"/>
      <c r="C149" s="11"/>
      <c r="D149" s="1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9"/>
      <c r="B150" s="10"/>
      <c r="C150" s="11"/>
      <c r="D150" s="1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9"/>
      <c r="B151" s="10"/>
      <c r="C151" s="11"/>
      <c r="D151" s="1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9"/>
      <c r="B152" s="10"/>
      <c r="C152" s="11"/>
      <c r="D152" s="1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9"/>
      <c r="B153" s="10"/>
      <c r="C153" s="11"/>
      <c r="D153" s="1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9"/>
      <c r="B154" s="10"/>
      <c r="C154" s="11"/>
      <c r="D154" s="1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9"/>
      <c r="B155" s="10"/>
      <c r="C155" s="11"/>
      <c r="D155" s="1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9"/>
      <c r="B156" s="10"/>
      <c r="C156" s="11"/>
      <c r="D156" s="1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9"/>
      <c r="B157" s="10"/>
      <c r="C157" s="11"/>
      <c r="D157" s="1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9"/>
      <c r="B158" s="10"/>
      <c r="C158" s="11"/>
      <c r="D158" s="1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9"/>
      <c r="B159" s="10"/>
      <c r="C159" s="11"/>
      <c r="D159" s="1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9"/>
      <c r="B160" s="10"/>
      <c r="C160" s="11"/>
      <c r="D160" s="1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9"/>
      <c r="B161" s="10"/>
      <c r="C161" s="11"/>
      <c r="D161" s="1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9"/>
      <c r="B162" s="10"/>
      <c r="C162" s="11"/>
      <c r="D162" s="1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9"/>
      <c r="B163" s="10"/>
      <c r="C163" s="11"/>
      <c r="D163" s="1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9"/>
      <c r="B164" s="10"/>
      <c r="C164" s="11"/>
      <c r="D164" s="1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9"/>
      <c r="B165" s="10"/>
      <c r="C165" s="11"/>
      <c r="D165" s="1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9"/>
      <c r="B166" s="10"/>
      <c r="C166" s="11"/>
      <c r="D166" s="1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9"/>
      <c r="B167" s="10"/>
      <c r="C167" s="11"/>
      <c r="D167" s="1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9"/>
      <c r="B168" s="10"/>
      <c r="C168" s="11"/>
      <c r="D168" s="1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9"/>
      <c r="B169" s="10"/>
      <c r="C169" s="11"/>
      <c r="D169" s="1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9"/>
      <c r="B170" s="10"/>
      <c r="C170" s="11"/>
      <c r="D170" s="1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9.5" customHeight="1">
      <c r="A171" s="9"/>
      <c r="B171" s="10"/>
      <c r="C171" s="11"/>
      <c r="D171" s="1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9.5" customHeight="1">
      <c r="A172" s="9"/>
      <c r="B172" s="10"/>
      <c r="C172" s="11"/>
      <c r="D172" s="1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9.5" customHeight="1">
      <c r="A173" s="9"/>
      <c r="B173" s="10"/>
      <c r="C173" s="11"/>
      <c r="D173" s="1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9.5" customHeight="1">
      <c r="A174" s="9"/>
      <c r="B174" s="10"/>
      <c r="C174" s="11"/>
      <c r="D174" s="1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9.5" customHeight="1">
      <c r="A175" s="9"/>
      <c r="B175" s="10"/>
      <c r="C175" s="11"/>
      <c r="D175" s="1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9.5" customHeight="1">
      <c r="A176" s="9"/>
      <c r="B176" s="10"/>
      <c r="C176" s="11"/>
      <c r="D176" s="1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9.5" customHeight="1">
      <c r="A177" s="9"/>
      <c r="B177" s="10"/>
      <c r="C177" s="11"/>
      <c r="D177" s="1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9.5" customHeight="1">
      <c r="A178" s="9"/>
      <c r="B178" s="10"/>
      <c r="C178" s="11"/>
      <c r="D178" s="1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9.5" customHeight="1">
      <c r="A179" s="9"/>
      <c r="B179" s="10"/>
      <c r="C179" s="11"/>
      <c r="D179" s="1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9.5" customHeight="1">
      <c r="A180" s="9"/>
      <c r="B180" s="10"/>
      <c r="C180" s="11"/>
      <c r="D180" s="1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9.5" customHeight="1">
      <c r="A181" s="9"/>
      <c r="B181" s="10"/>
      <c r="C181" s="11"/>
      <c r="D181" s="1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9.5" customHeight="1">
      <c r="A182" s="9"/>
      <c r="B182" s="10"/>
      <c r="C182" s="11"/>
      <c r="D182" s="1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9.5" customHeight="1">
      <c r="A183" s="9"/>
      <c r="B183" s="10"/>
      <c r="C183" s="11"/>
      <c r="D183" s="1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9.5" customHeight="1">
      <c r="A184" s="9"/>
      <c r="B184" s="10"/>
      <c r="C184" s="11"/>
      <c r="D184" s="1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9.5" customHeight="1">
      <c r="A185" s="9"/>
      <c r="B185" s="10"/>
      <c r="C185" s="11"/>
      <c r="D185" s="1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9.5" customHeight="1">
      <c r="A186" s="9"/>
      <c r="B186" s="10"/>
      <c r="C186" s="11"/>
      <c r="D186" s="1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9.5" customHeight="1">
      <c r="A187" s="9"/>
      <c r="B187" s="10"/>
      <c r="C187" s="11"/>
      <c r="D187" s="1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9.5" customHeight="1">
      <c r="A188" s="9"/>
      <c r="B188" s="10"/>
      <c r="C188" s="11"/>
      <c r="D188" s="1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9.5" customHeight="1">
      <c r="A189" s="9"/>
      <c r="B189" s="10"/>
      <c r="C189" s="11"/>
      <c r="D189" s="1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9.5" customHeight="1">
      <c r="A190" s="9"/>
      <c r="B190" s="10"/>
      <c r="C190" s="11"/>
      <c r="D190" s="1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9.5" customHeight="1">
      <c r="A191" s="9"/>
      <c r="B191" s="10"/>
      <c r="C191" s="11"/>
      <c r="D191" s="1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9.5" customHeight="1">
      <c r="A192" s="9"/>
      <c r="B192" s="10"/>
      <c r="C192" s="11"/>
      <c r="D192" s="1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9.5" customHeight="1">
      <c r="A193" s="9"/>
      <c r="B193" s="10"/>
      <c r="C193" s="11"/>
      <c r="D193" s="1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9.5" customHeight="1">
      <c r="A194" s="9"/>
      <c r="B194" s="10"/>
      <c r="C194" s="11"/>
      <c r="D194" s="1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9.5" customHeight="1">
      <c r="A195" s="9"/>
      <c r="B195" s="10"/>
      <c r="C195" s="11"/>
      <c r="D195" s="1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9.5" customHeight="1">
      <c r="A196" s="9"/>
      <c r="B196" s="10"/>
      <c r="C196" s="11"/>
      <c r="D196" s="1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9.5" customHeight="1">
      <c r="A197" s="9"/>
      <c r="B197" s="10"/>
      <c r="C197" s="11"/>
      <c r="D197" s="1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9.5" customHeight="1">
      <c r="A198" s="9"/>
      <c r="B198" s="10"/>
      <c r="C198" s="11"/>
      <c r="D198" s="1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9.5" customHeight="1">
      <c r="A199" s="9"/>
      <c r="B199" s="10"/>
      <c r="C199" s="11"/>
      <c r="D199" s="1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9.5" customHeight="1">
      <c r="A200" s="9"/>
      <c r="B200" s="10"/>
      <c r="C200" s="11"/>
      <c r="D200" s="1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9.5" customHeight="1">
      <c r="A201" s="9"/>
      <c r="B201" s="10"/>
      <c r="C201" s="11"/>
      <c r="D201" s="1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9.5" customHeight="1">
      <c r="A202" s="9"/>
      <c r="B202" s="10"/>
      <c r="C202" s="11"/>
      <c r="D202" s="1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9.5" customHeight="1">
      <c r="A203" s="9"/>
      <c r="B203" s="10"/>
      <c r="C203" s="11"/>
      <c r="D203" s="1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9.5" customHeight="1">
      <c r="A204" s="9"/>
      <c r="B204" s="10"/>
      <c r="C204" s="11"/>
      <c r="D204" s="1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9.5" customHeight="1">
      <c r="A205" s="9"/>
      <c r="B205" s="10"/>
      <c r="C205" s="11"/>
      <c r="D205" s="1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9.5" customHeight="1">
      <c r="A206" s="9"/>
      <c r="B206" s="10"/>
      <c r="C206" s="11"/>
      <c r="D206" s="1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9.5" customHeight="1">
      <c r="A207" s="9"/>
      <c r="B207" s="10"/>
      <c r="C207" s="11"/>
      <c r="D207" s="1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9.5" customHeight="1">
      <c r="A208" s="9"/>
      <c r="B208" s="10"/>
      <c r="C208" s="11"/>
      <c r="D208" s="1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9.5" customHeight="1">
      <c r="A209" s="9"/>
      <c r="B209" s="10"/>
      <c r="C209" s="11"/>
      <c r="D209" s="1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9.5" customHeight="1">
      <c r="A210" s="9"/>
      <c r="B210" s="10"/>
      <c r="C210" s="11"/>
      <c r="D210" s="1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9.5" customHeight="1">
      <c r="A211" s="9"/>
      <c r="B211" s="10"/>
      <c r="C211" s="11"/>
      <c r="D211" s="1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9.5" customHeight="1">
      <c r="A212" s="9"/>
      <c r="B212" s="10"/>
      <c r="C212" s="11"/>
      <c r="D212" s="1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9.5" customHeight="1">
      <c r="A213" s="9"/>
      <c r="B213" s="10"/>
      <c r="C213" s="11"/>
      <c r="D213" s="1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9.5" customHeight="1">
      <c r="A214" s="9"/>
      <c r="B214" s="10"/>
      <c r="C214" s="11"/>
      <c r="D214" s="1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9.5" customHeight="1">
      <c r="A215" s="9"/>
      <c r="B215" s="10"/>
      <c r="C215" s="11"/>
      <c r="D215" s="1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9.5" customHeight="1">
      <c r="A216" s="9"/>
      <c r="B216" s="10"/>
      <c r="C216" s="11"/>
      <c r="D216" s="1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9.5" customHeight="1">
      <c r="A217" s="9"/>
      <c r="B217" s="10"/>
      <c r="C217" s="11"/>
      <c r="D217" s="1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9.5" customHeight="1">
      <c r="A218" s="9"/>
      <c r="B218" s="10"/>
      <c r="C218" s="11"/>
      <c r="D218" s="1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9.5" customHeight="1">
      <c r="A219" s="9"/>
      <c r="B219" s="10"/>
      <c r="C219" s="11"/>
      <c r="D219" s="1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9.5" customHeight="1">
      <c r="A220" s="9"/>
      <c r="B220" s="10"/>
      <c r="C220" s="11"/>
      <c r="D220" s="1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9.5" customHeight="1">
      <c r="A221" s="9"/>
      <c r="B221" s="10"/>
      <c r="C221" s="11"/>
      <c r="D221" s="1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9.5" customHeight="1">
      <c r="A222" s="9"/>
      <c r="B222" s="10"/>
      <c r="C222" s="11"/>
      <c r="D222" s="1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9.5" customHeight="1">
      <c r="A223" s="9"/>
      <c r="B223" s="10"/>
      <c r="C223" s="11"/>
      <c r="D223" s="1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9.5" customHeight="1">
      <c r="A224" s="9"/>
      <c r="B224" s="10"/>
      <c r="C224" s="11"/>
      <c r="D224" s="1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9.5" customHeight="1">
      <c r="A225" s="9"/>
      <c r="B225" s="10"/>
      <c r="C225" s="11"/>
      <c r="D225" s="1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9.5" customHeight="1">
      <c r="A226" s="9"/>
      <c r="B226" s="10"/>
      <c r="C226" s="11"/>
      <c r="D226" s="1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9.5" customHeight="1">
      <c r="A227" s="9"/>
      <c r="B227" s="10"/>
      <c r="C227" s="11"/>
      <c r="D227" s="1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9.5" customHeight="1">
      <c r="A228" s="9"/>
      <c r="B228" s="10"/>
      <c r="C228" s="11"/>
      <c r="D228" s="1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9.5" customHeight="1">
      <c r="A229" s="9"/>
      <c r="B229" s="10"/>
      <c r="C229" s="11"/>
      <c r="D229" s="1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9.5" customHeight="1">
      <c r="A230" s="9"/>
      <c r="B230" s="10"/>
      <c r="C230" s="11"/>
      <c r="D230" s="11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9.5" customHeight="1">
      <c r="A231" s="9"/>
      <c r="B231" s="10"/>
      <c r="C231" s="11"/>
      <c r="D231" s="11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9.5" customHeight="1">
      <c r="A232" s="9"/>
      <c r="B232" s="10"/>
      <c r="C232" s="11"/>
      <c r="D232" s="11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9.5" customHeight="1">
      <c r="A233" s="9"/>
      <c r="B233" s="10"/>
      <c r="C233" s="11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9.5" customHeight="1">
      <c r="A234" s="9"/>
      <c r="B234" s="10"/>
      <c r="C234" s="11"/>
      <c r="D234" s="11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9.5" customHeight="1">
      <c r="A235" s="9"/>
      <c r="B235" s="10"/>
      <c r="C235" s="11"/>
      <c r="D235" s="11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9.5" customHeight="1">
      <c r="A236" s="9"/>
      <c r="B236" s="10"/>
      <c r="C236" s="11"/>
      <c r="D236" s="11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9.5" customHeight="1">
      <c r="A237" s="9"/>
      <c r="B237" s="10"/>
      <c r="C237" s="11"/>
      <c r="D237" s="11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9.5" customHeight="1">
      <c r="A238" s="9"/>
      <c r="B238" s="10"/>
      <c r="C238" s="11"/>
      <c r="D238" s="11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9.5" customHeight="1">
      <c r="A239" s="9"/>
      <c r="B239" s="10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9.5" customHeight="1">
      <c r="A240" s="9"/>
      <c r="B240" s="10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9.5" customHeight="1">
      <c r="A241" s="9"/>
      <c r="B241" s="10"/>
      <c r="C241" s="11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9.5" customHeight="1">
      <c r="A242" s="9"/>
      <c r="B242" s="10"/>
      <c r="C242" s="11"/>
      <c r="D242" s="11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9.5" customHeight="1">
      <c r="A243" s="9"/>
      <c r="B243" s="10"/>
      <c r="C243" s="11"/>
      <c r="D243" s="11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9.5" customHeight="1">
      <c r="A244" s="9"/>
      <c r="B244" s="10"/>
      <c r="C244" s="11"/>
      <c r="D244" s="11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9.5" customHeight="1">
      <c r="A245" s="9"/>
      <c r="B245" s="10"/>
      <c r="C245" s="11"/>
      <c r="D245" s="11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9.5" customHeight="1">
      <c r="A246" s="9"/>
      <c r="B246" s="10"/>
      <c r="C246" s="11"/>
      <c r="D246" s="11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9.5" customHeight="1">
      <c r="A247" s="9"/>
      <c r="B247" s="10"/>
      <c r="C247" s="11"/>
      <c r="D247" s="11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9.5" customHeight="1">
      <c r="A248" s="9"/>
      <c r="B248" s="10"/>
      <c r="C248" s="11"/>
      <c r="D248" s="11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9.5" customHeight="1">
      <c r="A249" s="9"/>
      <c r="B249" s="10"/>
      <c r="C249" s="11"/>
      <c r="D249" s="11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9.5" customHeight="1">
      <c r="A250" s="9"/>
      <c r="B250" s="10"/>
      <c r="C250" s="11"/>
      <c r="D250" s="11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9.5" customHeight="1">
      <c r="A251" s="9"/>
      <c r="B251" s="10"/>
      <c r="C251" s="11"/>
      <c r="D251" s="11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9.5" customHeight="1">
      <c r="A252" s="9"/>
      <c r="B252" s="10"/>
      <c r="C252" s="11"/>
      <c r="D252" s="11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9.5" customHeight="1">
      <c r="A253" s="9"/>
      <c r="B253" s="10"/>
      <c r="C253" s="11"/>
      <c r="D253" s="11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9.5" customHeight="1">
      <c r="A254" s="9"/>
      <c r="B254" s="10"/>
      <c r="C254" s="11"/>
      <c r="D254" s="11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9.5" customHeight="1">
      <c r="A255" s="9"/>
      <c r="B255" s="10"/>
      <c r="C255" s="11"/>
      <c r="D255" s="11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9.5" customHeight="1">
      <c r="A256" s="9"/>
      <c r="B256" s="10"/>
      <c r="C256" s="11"/>
      <c r="D256" s="11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9.5" customHeight="1">
      <c r="A257" s="9"/>
      <c r="B257" s="10"/>
      <c r="C257" s="11"/>
      <c r="D257" s="11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9.5" customHeight="1">
      <c r="A258" s="9"/>
      <c r="B258" s="10"/>
      <c r="C258" s="11"/>
      <c r="D258" s="11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9.5" customHeight="1">
      <c r="A259" s="9"/>
      <c r="B259" s="10"/>
      <c r="C259" s="11"/>
      <c r="D259" s="11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9.5" customHeight="1">
      <c r="A260" s="9"/>
      <c r="B260" s="10"/>
      <c r="C260" s="11"/>
      <c r="D260" s="11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9.5" customHeight="1">
      <c r="A261" s="9"/>
      <c r="B261" s="10"/>
      <c r="C261" s="11"/>
      <c r="D261" s="11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9.5" customHeight="1">
      <c r="A262" s="9"/>
      <c r="B262" s="10"/>
      <c r="C262" s="11"/>
      <c r="D262" s="11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9.5" customHeight="1">
      <c r="A263" s="9"/>
      <c r="B263" s="10"/>
      <c r="C263" s="11"/>
      <c r="D263" s="11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9.5" customHeight="1">
      <c r="A264" s="9"/>
      <c r="B264" s="10"/>
      <c r="C264" s="11"/>
      <c r="D264" s="11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9.5" customHeight="1">
      <c r="A265" s="9"/>
      <c r="B265" s="10"/>
      <c r="C265" s="11"/>
      <c r="D265" s="11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9.5" customHeight="1">
      <c r="A266" s="9"/>
      <c r="B266" s="10"/>
      <c r="C266" s="11"/>
      <c r="D266" s="11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9.5" customHeight="1">
      <c r="A267" s="9"/>
      <c r="B267" s="10"/>
      <c r="C267" s="11"/>
      <c r="D267" s="11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9.5" customHeight="1">
      <c r="A268" s="9"/>
      <c r="B268" s="10"/>
      <c r="C268" s="11"/>
      <c r="D268" s="11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9.5" customHeight="1">
      <c r="A269" s="9"/>
      <c r="B269" s="10"/>
      <c r="C269" s="11"/>
      <c r="D269" s="11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9.5" customHeight="1">
      <c r="A270" s="9"/>
      <c r="B270" s="10"/>
      <c r="C270" s="11"/>
      <c r="D270" s="11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9.5" customHeight="1">
      <c r="A271" s="9"/>
      <c r="B271" s="10"/>
      <c r="C271" s="11"/>
      <c r="D271" s="11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9.5" customHeight="1">
      <c r="A272" s="9"/>
      <c r="B272" s="10"/>
      <c r="C272" s="11"/>
      <c r="D272" s="11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9.5" customHeight="1">
      <c r="A273" s="9"/>
      <c r="B273" s="10"/>
      <c r="C273" s="11"/>
      <c r="D273" s="11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9.5" customHeight="1">
      <c r="A274" s="9"/>
      <c r="B274" s="10"/>
      <c r="C274" s="11"/>
      <c r="D274" s="11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9.5" customHeight="1">
      <c r="A275" s="9"/>
      <c r="B275" s="10"/>
      <c r="C275" s="11"/>
      <c r="D275" s="11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9.5" customHeight="1">
      <c r="A276" s="9"/>
      <c r="B276" s="10"/>
      <c r="C276" s="11"/>
      <c r="D276" s="11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9.5" customHeight="1">
      <c r="A277" s="9"/>
      <c r="B277" s="10"/>
      <c r="C277" s="11"/>
      <c r="D277" s="11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9.5" customHeight="1">
      <c r="A278" s="9"/>
      <c r="B278" s="10"/>
      <c r="C278" s="11"/>
      <c r="D278" s="11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9.5" customHeight="1">
      <c r="A279" s="9"/>
      <c r="B279" s="10"/>
      <c r="C279" s="11"/>
      <c r="D279" s="11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9.5" customHeight="1">
      <c r="A280" s="9"/>
      <c r="B280" s="10"/>
      <c r="C280" s="11"/>
      <c r="D280" s="11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9.5" customHeight="1">
      <c r="A281" s="9"/>
      <c r="B281" s="10"/>
      <c r="C281" s="11"/>
      <c r="D281" s="11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9.5" customHeight="1">
      <c r="A282" s="9"/>
      <c r="B282" s="10"/>
      <c r="C282" s="11"/>
      <c r="D282" s="11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9.5" customHeight="1">
      <c r="A283" s="9"/>
      <c r="B283" s="10"/>
      <c r="C283" s="11"/>
      <c r="D283" s="11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9.5" customHeight="1">
      <c r="A284" s="9"/>
      <c r="B284" s="10"/>
      <c r="C284" s="11"/>
      <c r="D284" s="11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9.5" customHeight="1">
      <c r="A285" s="9"/>
      <c r="B285" s="10"/>
      <c r="C285" s="11"/>
      <c r="D285" s="11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9.5" customHeight="1">
      <c r="A286" s="9"/>
      <c r="B286" s="10"/>
      <c r="C286" s="11"/>
      <c r="D286" s="11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9.5" customHeight="1">
      <c r="A287" s="9"/>
      <c r="B287" s="10"/>
      <c r="C287" s="11"/>
      <c r="D287" s="11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9.5" customHeight="1">
      <c r="A288" s="9"/>
      <c r="B288" s="10"/>
      <c r="C288" s="11"/>
      <c r="D288" s="11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9.5" customHeight="1">
      <c r="A289" s="9"/>
      <c r="B289" s="10"/>
      <c r="C289" s="11"/>
      <c r="D289" s="11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9.5" customHeight="1">
      <c r="A290" s="9"/>
      <c r="B290" s="10"/>
      <c r="C290" s="11"/>
      <c r="D290" s="11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9.5" customHeight="1">
      <c r="A291" s="9"/>
      <c r="B291" s="10"/>
      <c r="C291" s="11"/>
      <c r="D291" s="11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9.5" customHeight="1">
      <c r="A292" s="9"/>
      <c r="B292" s="10"/>
      <c r="C292" s="11"/>
      <c r="D292" s="11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9.5" customHeight="1">
      <c r="A293" s="9"/>
      <c r="B293" s="10"/>
      <c r="C293" s="11"/>
      <c r="D293" s="11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9.5" customHeight="1">
      <c r="A294" s="9"/>
      <c r="B294" s="10"/>
      <c r="C294" s="11"/>
      <c r="D294" s="11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9.5" customHeight="1">
      <c r="A295" s="9"/>
      <c r="B295" s="10"/>
      <c r="C295" s="11"/>
      <c r="D295" s="11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9.5" customHeight="1">
      <c r="A296" s="9"/>
      <c r="B296" s="10"/>
      <c r="C296" s="11"/>
      <c r="D296" s="11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9.5" customHeight="1">
      <c r="A297" s="9"/>
      <c r="B297" s="10"/>
      <c r="C297" s="11"/>
      <c r="D297" s="11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9.5" customHeight="1">
      <c r="A298" s="9"/>
      <c r="B298" s="10"/>
      <c r="C298" s="11"/>
      <c r="D298" s="11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9.5" customHeight="1">
      <c r="A299" s="9"/>
      <c r="B299" s="10"/>
      <c r="C299" s="11"/>
      <c r="D299" s="11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9.5" customHeight="1">
      <c r="A300" s="9"/>
      <c r="B300" s="10"/>
      <c r="C300" s="11"/>
      <c r="D300" s="11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9.5" customHeight="1">
      <c r="A301" s="9"/>
      <c r="B301" s="10"/>
      <c r="C301" s="11"/>
      <c r="D301" s="11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9.5" customHeight="1">
      <c r="A302" s="9"/>
      <c r="B302" s="10"/>
      <c r="C302" s="11"/>
      <c r="D302" s="11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9.5" customHeight="1">
      <c r="A303" s="9"/>
      <c r="B303" s="10"/>
      <c r="C303" s="11"/>
      <c r="D303" s="11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9.5" customHeight="1">
      <c r="A304" s="9"/>
      <c r="B304" s="10"/>
      <c r="C304" s="11"/>
      <c r="D304" s="11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9.5" customHeight="1">
      <c r="A305" s="9"/>
      <c r="B305" s="10"/>
      <c r="C305" s="11"/>
      <c r="D305" s="11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9.5" customHeight="1">
      <c r="A306" s="9"/>
      <c r="B306" s="10"/>
      <c r="C306" s="11"/>
      <c r="D306" s="11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9.5" customHeight="1">
      <c r="A307" s="9"/>
      <c r="B307" s="10"/>
      <c r="C307" s="11"/>
      <c r="D307" s="11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9.5" customHeight="1">
      <c r="A308" s="9"/>
      <c r="B308" s="10"/>
      <c r="C308" s="11"/>
      <c r="D308" s="11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9.5" customHeight="1">
      <c r="A309" s="9"/>
      <c r="B309" s="10"/>
      <c r="C309" s="11"/>
      <c r="D309" s="11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9.5" customHeight="1">
      <c r="A310" s="9"/>
      <c r="B310" s="10"/>
      <c r="C310" s="11"/>
      <c r="D310" s="11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9.5" customHeight="1">
      <c r="A311" s="9"/>
      <c r="B311" s="10"/>
      <c r="C311" s="11"/>
      <c r="D311" s="11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9.5" customHeight="1">
      <c r="A312" s="9"/>
      <c r="B312" s="10"/>
      <c r="C312" s="11"/>
      <c r="D312" s="11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9.5" customHeight="1">
      <c r="A313" s="9"/>
      <c r="B313" s="10"/>
      <c r="C313" s="11"/>
      <c r="D313" s="11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9.5" customHeight="1">
      <c r="A314" s="9"/>
      <c r="B314" s="10"/>
      <c r="C314" s="11"/>
      <c r="D314" s="11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9.5" customHeight="1">
      <c r="A315" s="9"/>
      <c r="B315" s="10"/>
      <c r="C315" s="11"/>
      <c r="D315" s="11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9.5" customHeight="1">
      <c r="A316" s="9"/>
      <c r="B316" s="10"/>
      <c r="C316" s="11"/>
      <c r="D316" s="11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9.5" customHeight="1">
      <c r="A317" s="9"/>
      <c r="B317" s="10"/>
      <c r="C317" s="11"/>
      <c r="D317" s="11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9.5" customHeight="1">
      <c r="A318" s="9"/>
      <c r="B318" s="10"/>
      <c r="C318" s="11"/>
      <c r="D318" s="11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9.5" customHeight="1">
      <c r="A319" s="9"/>
      <c r="B319" s="10"/>
      <c r="C319" s="11"/>
      <c r="D319" s="11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9.5" customHeight="1">
      <c r="A320" s="9"/>
      <c r="B320" s="10"/>
      <c r="C320" s="11"/>
      <c r="D320" s="11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9.5" customHeight="1">
      <c r="A321" s="9"/>
      <c r="B321" s="10"/>
      <c r="C321" s="11"/>
      <c r="D321" s="11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9.5" customHeight="1">
      <c r="A322" s="9"/>
      <c r="B322" s="10"/>
      <c r="C322" s="11"/>
      <c r="D322" s="11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9.5" customHeight="1">
      <c r="A323" s="9"/>
      <c r="B323" s="10"/>
      <c r="C323" s="11"/>
      <c r="D323" s="11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9.5" customHeight="1">
      <c r="A324" s="9"/>
      <c r="B324" s="10"/>
      <c r="C324" s="11"/>
      <c r="D324" s="11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9.5" customHeight="1">
      <c r="A325" s="9"/>
      <c r="B325" s="10"/>
      <c r="C325" s="11"/>
      <c r="D325" s="11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9.5" customHeight="1">
      <c r="A326" s="9"/>
      <c r="B326" s="10"/>
      <c r="C326" s="11"/>
      <c r="D326" s="11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9.5" customHeight="1">
      <c r="A327" s="9"/>
      <c r="B327" s="10"/>
      <c r="C327" s="11"/>
      <c r="D327" s="11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9.5" customHeight="1">
      <c r="A328" s="9"/>
      <c r="B328" s="10"/>
      <c r="C328" s="11"/>
      <c r="D328" s="11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9.5" customHeight="1">
      <c r="A329" s="9"/>
      <c r="B329" s="10"/>
      <c r="C329" s="11"/>
      <c r="D329" s="11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9.5" customHeight="1">
      <c r="A330" s="9"/>
      <c r="B330" s="10"/>
      <c r="C330" s="11"/>
      <c r="D330" s="11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9.5" customHeight="1">
      <c r="A331" s="9"/>
      <c r="B331" s="10"/>
      <c r="C331" s="11"/>
      <c r="D331" s="11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9.5" customHeight="1">
      <c r="A332" s="9"/>
      <c r="B332" s="10"/>
      <c r="C332" s="11"/>
      <c r="D332" s="11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9.5" customHeight="1">
      <c r="A333" s="9"/>
      <c r="B333" s="10"/>
      <c r="C333" s="11"/>
      <c r="D333" s="11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9.5" customHeight="1">
      <c r="A334" s="9"/>
      <c r="B334" s="10"/>
      <c r="C334" s="11"/>
      <c r="D334" s="11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9.5" customHeight="1">
      <c r="A335" s="9"/>
      <c r="B335" s="10"/>
      <c r="C335" s="11"/>
      <c r="D335" s="11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9.5" customHeight="1">
      <c r="A336" s="9"/>
      <c r="B336" s="10"/>
      <c r="C336" s="11"/>
      <c r="D336" s="11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9.5" customHeight="1">
      <c r="A337" s="9"/>
      <c r="B337" s="10"/>
      <c r="C337" s="11"/>
      <c r="D337" s="11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9.5" customHeight="1">
      <c r="A338" s="9"/>
      <c r="B338" s="10"/>
      <c r="C338" s="11"/>
      <c r="D338" s="11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9.5" customHeight="1">
      <c r="A339" s="9"/>
      <c r="B339" s="10"/>
      <c r="C339" s="11"/>
      <c r="D339" s="11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9.5" customHeight="1">
      <c r="A340" s="9"/>
      <c r="B340" s="10"/>
      <c r="C340" s="11"/>
      <c r="D340" s="11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9.5" customHeight="1">
      <c r="A341" s="9"/>
      <c r="B341" s="10"/>
      <c r="C341" s="11"/>
      <c r="D341" s="11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9.5" customHeight="1">
      <c r="A342" s="9"/>
      <c r="B342" s="10"/>
      <c r="C342" s="11"/>
      <c r="D342" s="11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9.5" customHeight="1">
      <c r="A343" s="9"/>
      <c r="B343" s="10"/>
      <c r="C343" s="11"/>
      <c r="D343" s="11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9.5" customHeight="1">
      <c r="A344" s="9"/>
      <c r="B344" s="10"/>
      <c r="C344" s="11"/>
      <c r="D344" s="11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9.5" customHeight="1">
      <c r="A345" s="9"/>
      <c r="B345" s="10"/>
      <c r="C345" s="11"/>
      <c r="D345" s="11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9.5" customHeight="1">
      <c r="A346" s="9"/>
      <c r="B346" s="10"/>
      <c r="C346" s="11"/>
      <c r="D346" s="11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9.5" customHeight="1">
      <c r="A347" s="9"/>
      <c r="B347" s="10"/>
      <c r="C347" s="11"/>
      <c r="D347" s="11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9.5" customHeight="1">
      <c r="A348" s="9"/>
      <c r="B348" s="10"/>
      <c r="C348" s="11"/>
      <c r="D348" s="11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9.5" customHeight="1">
      <c r="A349" s="9"/>
      <c r="B349" s="10"/>
      <c r="C349" s="11"/>
      <c r="D349" s="11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9.5" customHeight="1">
      <c r="A350" s="9"/>
      <c r="B350" s="10"/>
      <c r="C350" s="11"/>
      <c r="D350" s="11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9.5" customHeight="1">
      <c r="A351" s="9"/>
      <c r="B351" s="10"/>
      <c r="C351" s="11"/>
      <c r="D351" s="11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9.5" customHeight="1">
      <c r="A352" s="9"/>
      <c r="B352" s="10"/>
      <c r="C352" s="11"/>
      <c r="D352" s="11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9.5" customHeight="1">
      <c r="A353" s="9"/>
      <c r="B353" s="10"/>
      <c r="C353" s="11"/>
      <c r="D353" s="11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9.5" customHeight="1">
      <c r="A354" s="9"/>
      <c r="B354" s="10"/>
      <c r="C354" s="11"/>
      <c r="D354" s="11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9.5" customHeight="1">
      <c r="A355" s="9"/>
      <c r="B355" s="10"/>
      <c r="C355" s="11"/>
      <c r="D355" s="11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9.5" customHeight="1">
      <c r="A356" s="9"/>
      <c r="B356" s="10"/>
      <c r="C356" s="11"/>
      <c r="D356" s="11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9.5" customHeight="1">
      <c r="A357" s="9"/>
      <c r="B357" s="10"/>
      <c r="C357" s="11"/>
      <c r="D357" s="11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9.5" customHeight="1">
      <c r="A358" s="9"/>
      <c r="B358" s="10"/>
      <c r="C358" s="11"/>
      <c r="D358" s="11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9.5" customHeight="1">
      <c r="A359" s="9"/>
      <c r="B359" s="10"/>
      <c r="C359" s="11"/>
      <c r="D359" s="11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9.5" customHeight="1">
      <c r="A360" s="9"/>
      <c r="B360" s="10"/>
      <c r="C360" s="11"/>
      <c r="D360" s="11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9.5" customHeight="1">
      <c r="A361" s="9"/>
      <c r="B361" s="10"/>
      <c r="C361" s="11"/>
      <c r="D361" s="11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9.5" customHeight="1">
      <c r="A362" s="9"/>
      <c r="B362" s="10"/>
      <c r="C362" s="11"/>
      <c r="D362" s="11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9.5" customHeight="1">
      <c r="A363" s="9"/>
      <c r="B363" s="10"/>
      <c r="C363" s="11"/>
      <c r="D363" s="11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9.5" customHeight="1">
      <c r="A364" s="9"/>
      <c r="B364" s="10"/>
      <c r="C364" s="11"/>
      <c r="D364" s="11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9.5" customHeight="1">
      <c r="A365" s="9"/>
      <c r="B365" s="10"/>
      <c r="C365" s="11"/>
      <c r="D365" s="11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9.5" customHeight="1">
      <c r="A366" s="9"/>
      <c r="B366" s="10"/>
      <c r="C366" s="11"/>
      <c r="D366" s="11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9.5" customHeight="1">
      <c r="A367" s="9"/>
      <c r="B367" s="10"/>
      <c r="C367" s="11"/>
      <c r="D367" s="11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9.5" customHeight="1">
      <c r="A368" s="9"/>
      <c r="B368" s="10"/>
      <c r="C368" s="11"/>
      <c r="D368" s="11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9.5" customHeight="1">
      <c r="A369" s="9"/>
      <c r="B369" s="10"/>
      <c r="C369" s="11"/>
      <c r="D369" s="11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9.5" customHeight="1">
      <c r="A370" s="9"/>
      <c r="B370" s="10"/>
      <c r="C370" s="11"/>
      <c r="D370" s="11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9.5" customHeight="1">
      <c r="A371" s="9"/>
      <c r="B371" s="10"/>
      <c r="C371" s="11"/>
      <c r="D371" s="11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9.5" customHeight="1">
      <c r="A372" s="9"/>
      <c r="B372" s="10"/>
      <c r="C372" s="11"/>
      <c r="D372" s="11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9.5" customHeight="1">
      <c r="A373" s="9"/>
      <c r="B373" s="10"/>
      <c r="C373" s="11"/>
      <c r="D373" s="11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9.5" customHeight="1">
      <c r="A374" s="9"/>
      <c r="B374" s="10"/>
      <c r="C374" s="11"/>
      <c r="D374" s="11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9.5" customHeight="1">
      <c r="A375" s="9"/>
      <c r="B375" s="10"/>
      <c r="C375" s="11"/>
      <c r="D375" s="11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9.5" customHeight="1">
      <c r="A376" s="9"/>
      <c r="B376" s="10"/>
      <c r="C376" s="11"/>
      <c r="D376" s="11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9.5" customHeight="1">
      <c r="A377" s="9"/>
      <c r="B377" s="10"/>
      <c r="C377" s="11"/>
      <c r="D377" s="11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9.5" customHeight="1">
      <c r="A378" s="9"/>
      <c r="B378" s="10"/>
      <c r="C378" s="11"/>
      <c r="D378" s="11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9.5" customHeight="1">
      <c r="A379" s="9"/>
      <c r="B379" s="10"/>
      <c r="C379" s="11"/>
      <c r="D379" s="11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9.5" customHeight="1">
      <c r="A380" s="9"/>
      <c r="B380" s="10"/>
      <c r="C380" s="11"/>
      <c r="D380" s="11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9.5" customHeight="1">
      <c r="A381" s="9"/>
      <c r="B381" s="10"/>
      <c r="C381" s="11"/>
      <c r="D381" s="11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9.5" customHeight="1">
      <c r="A382" s="9"/>
      <c r="B382" s="10"/>
      <c r="C382" s="11"/>
      <c r="D382" s="11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9.5" customHeight="1">
      <c r="A383" s="9"/>
      <c r="B383" s="10"/>
      <c r="C383" s="11"/>
      <c r="D383" s="11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9.5" customHeight="1">
      <c r="A384" s="9"/>
      <c r="B384" s="10"/>
      <c r="C384" s="11"/>
      <c r="D384" s="11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9.5" customHeight="1">
      <c r="A385" s="9"/>
      <c r="B385" s="10"/>
      <c r="C385" s="11"/>
      <c r="D385" s="11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9.5" customHeight="1">
      <c r="A386" s="9"/>
      <c r="B386" s="10"/>
      <c r="C386" s="11"/>
      <c r="D386" s="11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9.5" customHeight="1">
      <c r="A387" s="9"/>
      <c r="B387" s="10"/>
      <c r="C387" s="11"/>
      <c r="D387" s="11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9.5" customHeight="1">
      <c r="A388" s="9"/>
      <c r="B388" s="10"/>
      <c r="C388" s="11"/>
      <c r="D388" s="11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9.5" customHeight="1">
      <c r="A389" s="9"/>
      <c r="B389" s="10"/>
      <c r="C389" s="11"/>
      <c r="D389" s="11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9.5" customHeight="1">
      <c r="A390" s="9"/>
      <c r="B390" s="10"/>
      <c r="C390" s="11"/>
      <c r="D390" s="11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9.5" customHeight="1">
      <c r="A391" s="9"/>
      <c r="B391" s="10"/>
      <c r="C391" s="11"/>
      <c r="D391" s="11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9.5" customHeight="1">
      <c r="A392" s="9"/>
      <c r="B392" s="10"/>
      <c r="C392" s="11"/>
      <c r="D392" s="11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9.5" customHeight="1">
      <c r="A393" s="9"/>
      <c r="B393" s="10"/>
      <c r="C393" s="11"/>
      <c r="D393" s="11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9.5" customHeight="1">
      <c r="A394" s="9"/>
      <c r="B394" s="10"/>
      <c r="C394" s="11"/>
      <c r="D394" s="11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9.5" customHeight="1">
      <c r="A395" s="9"/>
      <c r="B395" s="10"/>
      <c r="C395" s="11"/>
      <c r="D395" s="11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9.5" customHeight="1">
      <c r="A396" s="9"/>
      <c r="B396" s="10"/>
      <c r="C396" s="11"/>
      <c r="D396" s="11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9.5" customHeight="1">
      <c r="A397" s="9"/>
      <c r="B397" s="10"/>
      <c r="C397" s="11"/>
      <c r="D397" s="11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9.5" customHeight="1">
      <c r="A398" s="9"/>
      <c r="B398" s="10"/>
      <c r="C398" s="11"/>
      <c r="D398" s="11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9.5" customHeight="1">
      <c r="A399" s="9"/>
      <c r="B399" s="10"/>
      <c r="C399" s="11"/>
      <c r="D399" s="11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9.5" customHeight="1">
      <c r="A400" s="9"/>
      <c r="B400" s="10"/>
      <c r="C400" s="11"/>
      <c r="D400" s="11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9.5" customHeight="1">
      <c r="A401" s="9"/>
      <c r="B401" s="10"/>
      <c r="C401" s="11"/>
      <c r="D401" s="11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9.5" customHeight="1">
      <c r="A402" s="9"/>
      <c r="B402" s="10"/>
      <c r="C402" s="11"/>
      <c r="D402" s="11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9.5" customHeight="1">
      <c r="A403" s="9"/>
      <c r="B403" s="10"/>
      <c r="C403" s="11"/>
      <c r="D403" s="11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9.5" customHeight="1">
      <c r="A404" s="9"/>
      <c r="B404" s="10"/>
      <c r="C404" s="11"/>
      <c r="D404" s="11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9.5" customHeight="1">
      <c r="A405" s="9"/>
      <c r="B405" s="10"/>
      <c r="C405" s="11"/>
      <c r="D405" s="11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9.5" customHeight="1">
      <c r="A406" s="9"/>
      <c r="B406" s="10"/>
      <c r="C406" s="11"/>
      <c r="D406" s="11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9.5" customHeight="1">
      <c r="A407" s="9"/>
      <c r="B407" s="10"/>
      <c r="C407" s="11"/>
      <c r="D407" s="11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9.5" customHeight="1">
      <c r="A408" s="9"/>
      <c r="B408" s="10"/>
      <c r="C408" s="11"/>
      <c r="D408" s="11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9.5" customHeight="1">
      <c r="A409" s="9"/>
      <c r="B409" s="10"/>
      <c r="C409" s="11"/>
      <c r="D409" s="11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9.5" customHeight="1">
      <c r="A410" s="9"/>
      <c r="B410" s="10"/>
      <c r="C410" s="11"/>
      <c r="D410" s="11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9.5" customHeight="1">
      <c r="A411" s="9"/>
      <c r="B411" s="10"/>
      <c r="C411" s="11"/>
      <c r="D411" s="11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9.5" customHeight="1">
      <c r="A412" s="9"/>
      <c r="B412" s="10"/>
      <c r="C412" s="11"/>
      <c r="D412" s="11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9.5" customHeight="1">
      <c r="A413" s="9"/>
      <c r="B413" s="10"/>
      <c r="C413" s="11"/>
      <c r="D413" s="11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9.5" customHeight="1">
      <c r="A414" s="9"/>
      <c r="B414" s="10"/>
      <c r="C414" s="11"/>
      <c r="D414" s="11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9.5" customHeight="1">
      <c r="A415" s="9"/>
      <c r="B415" s="10"/>
      <c r="C415" s="11"/>
      <c r="D415" s="11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9.5" customHeight="1">
      <c r="A416" s="9"/>
      <c r="B416" s="10"/>
      <c r="C416" s="11"/>
      <c r="D416" s="11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9.5" customHeight="1">
      <c r="A417" s="9"/>
      <c r="B417" s="10"/>
      <c r="C417" s="11"/>
      <c r="D417" s="11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9.5" customHeight="1">
      <c r="A418" s="9"/>
      <c r="B418" s="10"/>
      <c r="C418" s="11"/>
      <c r="D418" s="11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9.5" customHeight="1">
      <c r="A419" s="9"/>
      <c r="B419" s="10"/>
      <c r="C419" s="11"/>
      <c r="D419" s="11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9.5" customHeight="1">
      <c r="A420" s="9"/>
      <c r="B420" s="10"/>
      <c r="C420" s="11"/>
      <c r="D420" s="11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9.5" customHeight="1">
      <c r="A421" s="9"/>
      <c r="B421" s="10"/>
      <c r="C421" s="11"/>
      <c r="D421" s="11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9.5" customHeight="1">
      <c r="A422" s="9"/>
      <c r="B422" s="10"/>
      <c r="C422" s="11"/>
      <c r="D422" s="11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9.5" customHeight="1">
      <c r="A423" s="9"/>
      <c r="B423" s="10"/>
      <c r="C423" s="11"/>
      <c r="D423" s="11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9.5" customHeight="1">
      <c r="A424" s="9"/>
      <c r="B424" s="10"/>
      <c r="C424" s="11"/>
      <c r="D424" s="11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9.5" customHeight="1">
      <c r="A425" s="9"/>
      <c r="B425" s="10"/>
      <c r="C425" s="11"/>
      <c r="D425" s="11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9.5" customHeight="1">
      <c r="A426" s="9"/>
      <c r="B426" s="10"/>
      <c r="C426" s="11"/>
      <c r="D426" s="11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9.5" customHeight="1">
      <c r="A427" s="9"/>
      <c r="B427" s="10"/>
      <c r="C427" s="11"/>
      <c r="D427" s="11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9.5" customHeight="1">
      <c r="A428" s="9"/>
      <c r="B428" s="10"/>
      <c r="C428" s="11"/>
      <c r="D428" s="11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9.5" customHeight="1">
      <c r="A429" s="9"/>
      <c r="B429" s="10"/>
      <c r="C429" s="11"/>
      <c r="D429" s="11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9.5" customHeight="1">
      <c r="A430" s="9"/>
      <c r="B430" s="10"/>
      <c r="C430" s="11"/>
      <c r="D430" s="11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9.5" customHeight="1">
      <c r="A431" s="9"/>
      <c r="B431" s="10"/>
      <c r="C431" s="11"/>
      <c r="D431" s="11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9.5" customHeight="1">
      <c r="A432" s="9"/>
      <c r="B432" s="10"/>
      <c r="C432" s="11"/>
      <c r="D432" s="11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9.5" customHeight="1">
      <c r="A433" s="9"/>
      <c r="B433" s="10"/>
      <c r="C433" s="11"/>
      <c r="D433" s="11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9.5" customHeight="1">
      <c r="A434" s="9"/>
      <c r="B434" s="10"/>
      <c r="C434" s="11"/>
      <c r="D434" s="11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9.5" customHeight="1">
      <c r="A435" s="9"/>
      <c r="B435" s="10"/>
      <c r="C435" s="11"/>
      <c r="D435" s="11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9.5" customHeight="1">
      <c r="A436" s="9"/>
      <c r="B436" s="10"/>
      <c r="C436" s="11"/>
      <c r="D436" s="11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9.5" customHeight="1">
      <c r="A437" s="9"/>
      <c r="B437" s="10"/>
      <c r="C437" s="11"/>
      <c r="D437" s="11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9.5" customHeight="1">
      <c r="A438" s="9"/>
      <c r="B438" s="10"/>
      <c r="C438" s="11"/>
      <c r="D438" s="11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9.5" customHeight="1">
      <c r="A439" s="9"/>
      <c r="B439" s="10"/>
      <c r="C439" s="11"/>
      <c r="D439" s="11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9.5" customHeight="1">
      <c r="A440" s="9"/>
      <c r="B440" s="10"/>
      <c r="C440" s="11"/>
      <c r="D440" s="11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9.5" customHeight="1">
      <c r="A441" s="9"/>
      <c r="B441" s="10"/>
      <c r="C441" s="11"/>
      <c r="D441" s="11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9.5" customHeight="1">
      <c r="A442" s="9"/>
      <c r="B442" s="10"/>
      <c r="C442" s="11"/>
      <c r="D442" s="11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9.5" customHeight="1">
      <c r="A443" s="9"/>
      <c r="B443" s="10"/>
      <c r="C443" s="11"/>
      <c r="D443" s="11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9.5" customHeight="1">
      <c r="A444" s="9"/>
      <c r="B444" s="10"/>
      <c r="C444" s="11"/>
      <c r="D444" s="11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9.5" customHeight="1">
      <c r="A445" s="9"/>
      <c r="B445" s="10"/>
      <c r="C445" s="11"/>
      <c r="D445" s="11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9.5" customHeight="1">
      <c r="A446" s="9"/>
      <c r="B446" s="10"/>
      <c r="C446" s="11"/>
      <c r="D446" s="11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9.5" customHeight="1">
      <c r="A447" s="9"/>
      <c r="B447" s="10"/>
      <c r="C447" s="11"/>
      <c r="D447" s="11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9.5" customHeight="1">
      <c r="A448" s="9"/>
      <c r="B448" s="10"/>
      <c r="C448" s="11"/>
      <c r="D448" s="11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9.5" customHeight="1">
      <c r="A449" s="9"/>
      <c r="B449" s="10"/>
      <c r="C449" s="11"/>
      <c r="D449" s="11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9.5" customHeight="1">
      <c r="A450" s="9"/>
      <c r="B450" s="10"/>
      <c r="C450" s="11"/>
      <c r="D450" s="11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9.5" customHeight="1">
      <c r="A451" s="9"/>
      <c r="B451" s="10"/>
      <c r="C451" s="11"/>
      <c r="D451" s="11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9.5" customHeight="1">
      <c r="A452" s="9"/>
      <c r="B452" s="10"/>
      <c r="C452" s="11"/>
      <c r="D452" s="11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9.5" customHeight="1">
      <c r="A453" s="9"/>
      <c r="B453" s="10"/>
      <c r="C453" s="11"/>
      <c r="D453" s="11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9.5" customHeight="1">
      <c r="A454" s="9"/>
      <c r="B454" s="10"/>
      <c r="C454" s="11"/>
      <c r="D454" s="11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9.5" customHeight="1">
      <c r="A455" s="9"/>
      <c r="B455" s="10"/>
      <c r="C455" s="11"/>
      <c r="D455" s="11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9.5" customHeight="1">
      <c r="A456" s="9"/>
      <c r="B456" s="10"/>
      <c r="C456" s="11"/>
      <c r="D456" s="11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9.5" customHeight="1">
      <c r="A457" s="9"/>
      <c r="B457" s="10"/>
      <c r="C457" s="11"/>
      <c r="D457" s="11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9.5" customHeight="1">
      <c r="A458" s="9"/>
      <c r="B458" s="10"/>
      <c r="C458" s="11"/>
      <c r="D458" s="11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9.5" customHeight="1">
      <c r="A459" s="9"/>
      <c r="B459" s="10"/>
      <c r="C459" s="11"/>
      <c r="D459" s="11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9.5" customHeight="1">
      <c r="A460" s="9"/>
      <c r="B460" s="10"/>
      <c r="C460" s="11"/>
      <c r="D460" s="11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9.5" customHeight="1">
      <c r="A461" s="9"/>
      <c r="B461" s="10"/>
      <c r="C461" s="11"/>
      <c r="D461" s="11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9.5" customHeight="1">
      <c r="A462" s="9"/>
      <c r="B462" s="10"/>
      <c r="C462" s="11"/>
      <c r="D462" s="11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9.5" customHeight="1">
      <c r="A463" s="9"/>
      <c r="B463" s="10"/>
      <c r="C463" s="11"/>
      <c r="D463" s="11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9.5" customHeight="1">
      <c r="A464" s="9"/>
      <c r="B464" s="10"/>
      <c r="C464" s="11"/>
      <c r="D464" s="11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9.5" customHeight="1">
      <c r="A465" s="9"/>
      <c r="B465" s="10"/>
      <c r="C465" s="11"/>
      <c r="D465" s="11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9.5" customHeight="1">
      <c r="A466" s="9"/>
      <c r="B466" s="10"/>
      <c r="C466" s="11"/>
      <c r="D466" s="11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9.5" customHeight="1">
      <c r="A467" s="9"/>
      <c r="B467" s="10"/>
      <c r="C467" s="11"/>
      <c r="D467" s="11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9.5" customHeight="1">
      <c r="A468" s="9"/>
      <c r="B468" s="10"/>
      <c r="C468" s="11"/>
      <c r="D468" s="11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9.5" customHeight="1">
      <c r="A469" s="9"/>
      <c r="B469" s="10"/>
      <c r="C469" s="11"/>
      <c r="D469" s="11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9.5" customHeight="1">
      <c r="A470" s="9"/>
      <c r="B470" s="10"/>
      <c r="C470" s="11"/>
      <c r="D470" s="11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9.5" customHeight="1">
      <c r="A471" s="9"/>
      <c r="B471" s="10"/>
      <c r="C471" s="11"/>
      <c r="D471" s="11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9.5" customHeight="1">
      <c r="A472" s="9"/>
      <c r="B472" s="10"/>
      <c r="C472" s="11"/>
      <c r="D472" s="11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9.5" customHeight="1">
      <c r="A473" s="9"/>
      <c r="B473" s="10"/>
      <c r="C473" s="11"/>
      <c r="D473" s="11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9.5" customHeight="1">
      <c r="A474" s="9"/>
      <c r="B474" s="10"/>
      <c r="C474" s="11"/>
      <c r="D474" s="11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9.5" customHeight="1">
      <c r="A475" s="9"/>
      <c r="B475" s="10"/>
      <c r="C475" s="11"/>
      <c r="D475" s="11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9.5" customHeight="1">
      <c r="A476" s="9"/>
      <c r="B476" s="10"/>
      <c r="C476" s="11"/>
      <c r="D476" s="11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9.5" customHeight="1">
      <c r="A477" s="9"/>
      <c r="B477" s="10"/>
      <c r="C477" s="11"/>
      <c r="D477" s="11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9.5" customHeight="1">
      <c r="A478" s="9"/>
      <c r="B478" s="10"/>
      <c r="C478" s="11"/>
      <c r="D478" s="11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9.5" customHeight="1">
      <c r="A479" s="9"/>
      <c r="B479" s="10"/>
      <c r="C479" s="11"/>
      <c r="D479" s="11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9.5" customHeight="1">
      <c r="A480" s="9"/>
      <c r="B480" s="10"/>
      <c r="C480" s="11"/>
      <c r="D480" s="11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9.5" customHeight="1">
      <c r="A481" s="9"/>
      <c r="B481" s="10"/>
      <c r="C481" s="11"/>
      <c r="D481" s="11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9.5" customHeight="1">
      <c r="A482" s="9"/>
      <c r="B482" s="10"/>
      <c r="C482" s="11"/>
      <c r="D482" s="11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9.5" customHeight="1">
      <c r="A483" s="9"/>
      <c r="B483" s="10"/>
      <c r="C483" s="11"/>
      <c r="D483" s="11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9.5" customHeight="1">
      <c r="A484" s="9"/>
      <c r="B484" s="10"/>
      <c r="C484" s="11"/>
      <c r="D484" s="11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9.5" customHeight="1">
      <c r="A485" s="9"/>
      <c r="B485" s="10"/>
      <c r="C485" s="11"/>
      <c r="D485" s="11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9.5" customHeight="1">
      <c r="A486" s="9"/>
      <c r="B486" s="10"/>
      <c r="C486" s="11"/>
      <c r="D486" s="11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9.5" customHeight="1">
      <c r="A487" s="9"/>
      <c r="B487" s="10"/>
      <c r="C487" s="11"/>
      <c r="D487" s="11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9.5" customHeight="1">
      <c r="A488" s="9"/>
      <c r="B488" s="10"/>
      <c r="C488" s="11"/>
      <c r="D488" s="11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9.5" customHeight="1">
      <c r="A489" s="9"/>
      <c r="B489" s="10"/>
      <c r="C489" s="11"/>
      <c r="D489" s="11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9.5" customHeight="1">
      <c r="A490" s="9"/>
      <c r="B490" s="10"/>
      <c r="C490" s="11"/>
      <c r="D490" s="11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9.5" customHeight="1">
      <c r="A491" s="9"/>
      <c r="B491" s="10"/>
      <c r="C491" s="11"/>
      <c r="D491" s="11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9.5" customHeight="1">
      <c r="A492" s="9"/>
      <c r="B492" s="10"/>
      <c r="C492" s="11"/>
      <c r="D492" s="11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9.5" customHeight="1">
      <c r="A493" s="9"/>
      <c r="B493" s="10"/>
      <c r="C493" s="11"/>
      <c r="D493" s="11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9.5" customHeight="1">
      <c r="A494" s="9"/>
      <c r="B494" s="10"/>
      <c r="C494" s="11"/>
      <c r="D494" s="11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9.5" customHeight="1">
      <c r="A495" s="9"/>
      <c r="B495" s="10"/>
      <c r="C495" s="11"/>
      <c r="D495" s="11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9.5" customHeight="1">
      <c r="A496" s="9"/>
      <c r="B496" s="10"/>
      <c r="C496" s="11"/>
      <c r="D496" s="11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9.5" customHeight="1">
      <c r="A497" s="9"/>
      <c r="B497" s="10"/>
      <c r="C497" s="11"/>
      <c r="D497" s="11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9.5" customHeight="1">
      <c r="A498" s="9"/>
      <c r="B498" s="10"/>
      <c r="C498" s="11"/>
      <c r="D498" s="11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9.5" customHeight="1">
      <c r="A499" s="9"/>
      <c r="B499" s="10"/>
      <c r="C499" s="11"/>
      <c r="D499" s="11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9.5" customHeight="1">
      <c r="A500" s="9"/>
      <c r="B500" s="10"/>
      <c r="C500" s="11"/>
      <c r="D500" s="11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9.5" customHeight="1">
      <c r="A501" s="9"/>
      <c r="B501" s="10"/>
      <c r="C501" s="11"/>
      <c r="D501" s="11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9.5" customHeight="1">
      <c r="A502" s="9"/>
      <c r="B502" s="10"/>
      <c r="C502" s="11"/>
      <c r="D502" s="11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9.5" customHeight="1">
      <c r="A503" s="9"/>
      <c r="B503" s="10"/>
      <c r="C503" s="11"/>
      <c r="D503" s="11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9.5" customHeight="1">
      <c r="A504" s="9"/>
      <c r="B504" s="10"/>
      <c r="C504" s="11"/>
      <c r="D504" s="11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9.5" customHeight="1">
      <c r="A505" s="9"/>
      <c r="B505" s="10"/>
      <c r="C505" s="11"/>
      <c r="D505" s="11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9.5" customHeight="1">
      <c r="A506" s="9"/>
      <c r="B506" s="10"/>
      <c r="C506" s="11"/>
      <c r="D506" s="11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9.5" customHeight="1">
      <c r="A507" s="9"/>
      <c r="B507" s="10"/>
      <c r="C507" s="11"/>
      <c r="D507" s="11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9.5" customHeight="1">
      <c r="A508" s="9"/>
      <c r="B508" s="10"/>
      <c r="C508" s="11"/>
      <c r="D508" s="11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9.5" customHeight="1">
      <c r="A509" s="9"/>
      <c r="B509" s="10"/>
      <c r="C509" s="11"/>
      <c r="D509" s="11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9.5" customHeight="1">
      <c r="A510" s="9"/>
      <c r="B510" s="10"/>
      <c r="C510" s="11"/>
      <c r="D510" s="11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9.5" customHeight="1">
      <c r="A511" s="9"/>
      <c r="B511" s="10"/>
      <c r="C511" s="11"/>
      <c r="D511" s="11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9.5" customHeight="1">
      <c r="A512" s="9"/>
      <c r="B512" s="10"/>
      <c r="C512" s="11"/>
      <c r="D512" s="11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9.5" customHeight="1">
      <c r="A513" s="9"/>
      <c r="B513" s="10"/>
      <c r="C513" s="11"/>
      <c r="D513" s="11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9.5" customHeight="1">
      <c r="A514" s="9"/>
      <c r="B514" s="10"/>
      <c r="C514" s="11"/>
      <c r="D514" s="11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9.5" customHeight="1">
      <c r="A515" s="9"/>
      <c r="B515" s="10"/>
      <c r="C515" s="11"/>
      <c r="D515" s="11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9.5" customHeight="1">
      <c r="A516" s="9"/>
      <c r="B516" s="10"/>
      <c r="C516" s="11"/>
      <c r="D516" s="11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9.5" customHeight="1">
      <c r="A517" s="9"/>
      <c r="B517" s="10"/>
      <c r="C517" s="11"/>
      <c r="D517" s="11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9.5" customHeight="1">
      <c r="A518" s="9"/>
      <c r="B518" s="10"/>
      <c r="C518" s="11"/>
      <c r="D518" s="11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9.5" customHeight="1">
      <c r="A519" s="9"/>
      <c r="B519" s="10"/>
      <c r="C519" s="11"/>
      <c r="D519" s="11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9.5" customHeight="1">
      <c r="A520" s="9"/>
      <c r="B520" s="10"/>
      <c r="C520" s="11"/>
      <c r="D520" s="11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9.5" customHeight="1">
      <c r="A521" s="9"/>
      <c r="B521" s="10"/>
      <c r="C521" s="11"/>
      <c r="D521" s="11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9.5" customHeight="1">
      <c r="A522" s="9"/>
      <c r="B522" s="10"/>
      <c r="C522" s="11"/>
      <c r="D522" s="11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9.5" customHeight="1">
      <c r="A523" s="9"/>
      <c r="B523" s="10"/>
      <c r="C523" s="11"/>
      <c r="D523" s="11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9.5" customHeight="1">
      <c r="A524" s="9"/>
      <c r="B524" s="10"/>
      <c r="C524" s="11"/>
      <c r="D524" s="11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9.5" customHeight="1">
      <c r="A525" s="9"/>
      <c r="B525" s="10"/>
      <c r="C525" s="11"/>
      <c r="D525" s="11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9.5" customHeight="1">
      <c r="A526" s="9"/>
      <c r="B526" s="10"/>
      <c r="C526" s="11"/>
      <c r="D526" s="11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9.5" customHeight="1">
      <c r="A527" s="9"/>
      <c r="B527" s="10"/>
      <c r="C527" s="11"/>
      <c r="D527" s="11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9.5" customHeight="1">
      <c r="A528" s="9"/>
      <c r="B528" s="10"/>
      <c r="C528" s="11"/>
      <c r="D528" s="11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9.5" customHeight="1">
      <c r="A529" s="9"/>
      <c r="B529" s="10"/>
      <c r="C529" s="11"/>
      <c r="D529" s="11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9.5" customHeight="1">
      <c r="A530" s="9"/>
      <c r="B530" s="10"/>
      <c r="C530" s="11"/>
      <c r="D530" s="11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9.5" customHeight="1">
      <c r="A531" s="9"/>
      <c r="B531" s="10"/>
      <c r="C531" s="11"/>
      <c r="D531" s="11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9.5" customHeight="1">
      <c r="A532" s="9"/>
      <c r="B532" s="10"/>
      <c r="C532" s="11"/>
      <c r="D532" s="11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9.5" customHeight="1">
      <c r="A533" s="9"/>
      <c r="B533" s="10"/>
      <c r="C533" s="11"/>
      <c r="D533" s="11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9.5" customHeight="1">
      <c r="A534" s="9"/>
      <c r="B534" s="10"/>
      <c r="C534" s="11"/>
      <c r="D534" s="11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9.5" customHeight="1">
      <c r="A535" s="9"/>
      <c r="B535" s="10"/>
      <c r="C535" s="11"/>
      <c r="D535" s="11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9.5" customHeight="1">
      <c r="A536" s="9"/>
      <c r="B536" s="10"/>
      <c r="C536" s="11"/>
      <c r="D536" s="11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9.5" customHeight="1">
      <c r="A537" s="9"/>
      <c r="B537" s="10"/>
      <c r="C537" s="11"/>
      <c r="D537" s="11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9.5" customHeight="1">
      <c r="A538" s="9"/>
      <c r="B538" s="10"/>
      <c r="C538" s="11"/>
      <c r="D538" s="11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9.5" customHeight="1">
      <c r="A539" s="9"/>
      <c r="B539" s="10"/>
      <c r="C539" s="11"/>
      <c r="D539" s="11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9.5" customHeight="1">
      <c r="A540" s="9"/>
      <c r="B540" s="10"/>
      <c r="C540" s="11"/>
      <c r="D540" s="11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9.5" customHeight="1">
      <c r="A541" s="9"/>
      <c r="B541" s="10"/>
      <c r="C541" s="11"/>
      <c r="D541" s="11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9.5" customHeight="1">
      <c r="A542" s="9"/>
      <c r="B542" s="10"/>
      <c r="C542" s="11"/>
      <c r="D542" s="11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9.5" customHeight="1">
      <c r="A543" s="9"/>
      <c r="B543" s="10"/>
      <c r="C543" s="11"/>
      <c r="D543" s="11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9.5" customHeight="1">
      <c r="A544" s="9"/>
      <c r="B544" s="10"/>
      <c r="C544" s="11"/>
      <c r="D544" s="11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9.5" customHeight="1">
      <c r="A545" s="9"/>
      <c r="B545" s="10"/>
      <c r="C545" s="11"/>
      <c r="D545" s="11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9.5" customHeight="1">
      <c r="A546" s="9"/>
      <c r="B546" s="10"/>
      <c r="C546" s="11"/>
      <c r="D546" s="11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9.5" customHeight="1">
      <c r="A547" s="9"/>
      <c r="B547" s="10"/>
      <c r="C547" s="11"/>
      <c r="D547" s="11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9.5" customHeight="1">
      <c r="A548" s="9"/>
      <c r="B548" s="10"/>
      <c r="C548" s="11"/>
      <c r="D548" s="11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9.5" customHeight="1">
      <c r="A549" s="9"/>
      <c r="B549" s="10"/>
      <c r="C549" s="11"/>
      <c r="D549" s="11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9.5" customHeight="1">
      <c r="A550" s="9"/>
      <c r="B550" s="10"/>
      <c r="C550" s="11"/>
      <c r="D550" s="11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9.5" customHeight="1">
      <c r="A551" s="9"/>
      <c r="B551" s="10"/>
      <c r="C551" s="11"/>
      <c r="D551" s="11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9.5" customHeight="1">
      <c r="A552" s="9"/>
      <c r="B552" s="10"/>
      <c r="C552" s="11"/>
      <c r="D552" s="11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9.5" customHeight="1">
      <c r="A553" s="9"/>
      <c r="B553" s="10"/>
      <c r="C553" s="11"/>
      <c r="D553" s="11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9.5" customHeight="1">
      <c r="A554" s="9"/>
      <c r="B554" s="10"/>
      <c r="C554" s="11"/>
      <c r="D554" s="11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9.5" customHeight="1">
      <c r="A555" s="9"/>
      <c r="B555" s="10"/>
      <c r="C555" s="11"/>
      <c r="D555" s="11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9.5" customHeight="1">
      <c r="A556" s="9"/>
      <c r="B556" s="10"/>
      <c r="C556" s="11"/>
      <c r="D556" s="11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9.5" customHeight="1">
      <c r="A557" s="9"/>
      <c r="B557" s="10"/>
      <c r="C557" s="11"/>
      <c r="D557" s="11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9.5" customHeight="1">
      <c r="A558" s="9"/>
      <c r="B558" s="10"/>
      <c r="C558" s="11"/>
      <c r="D558" s="11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9.5" customHeight="1">
      <c r="A559" s="9"/>
      <c r="B559" s="10"/>
      <c r="C559" s="11"/>
      <c r="D559" s="11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9.5" customHeight="1">
      <c r="A560" s="9"/>
      <c r="B560" s="10"/>
      <c r="C560" s="11"/>
      <c r="D560" s="11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9.5" customHeight="1">
      <c r="A561" s="9"/>
      <c r="B561" s="10"/>
      <c r="C561" s="11"/>
      <c r="D561" s="11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9.5" customHeight="1">
      <c r="A562" s="9"/>
      <c r="B562" s="10"/>
      <c r="C562" s="11"/>
      <c r="D562" s="11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9.5" customHeight="1">
      <c r="A563" s="9"/>
      <c r="B563" s="10"/>
      <c r="C563" s="11"/>
      <c r="D563" s="11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9.5" customHeight="1">
      <c r="A564" s="9"/>
      <c r="B564" s="10"/>
      <c r="C564" s="11"/>
      <c r="D564" s="11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9.5" customHeight="1">
      <c r="A565" s="9"/>
      <c r="B565" s="10"/>
      <c r="C565" s="11"/>
      <c r="D565" s="11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9.5" customHeight="1">
      <c r="A566" s="9"/>
      <c r="B566" s="10"/>
      <c r="C566" s="11"/>
      <c r="D566" s="11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9.5" customHeight="1">
      <c r="A567" s="9"/>
      <c r="B567" s="10"/>
      <c r="C567" s="11"/>
      <c r="D567" s="11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9.5" customHeight="1">
      <c r="A568" s="9"/>
      <c r="B568" s="10"/>
      <c r="C568" s="11"/>
      <c r="D568" s="11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9.5" customHeight="1">
      <c r="A569" s="9"/>
      <c r="B569" s="10"/>
      <c r="C569" s="11"/>
      <c r="D569" s="11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9.5" customHeight="1">
      <c r="A570" s="9"/>
      <c r="B570" s="10"/>
      <c r="C570" s="11"/>
      <c r="D570" s="11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9.5" customHeight="1">
      <c r="A571" s="9"/>
      <c r="B571" s="10"/>
      <c r="C571" s="11"/>
      <c r="D571" s="11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9.5" customHeight="1">
      <c r="A572" s="9"/>
      <c r="B572" s="10"/>
      <c r="C572" s="11"/>
      <c r="D572" s="11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9.5" customHeight="1">
      <c r="A573" s="9"/>
      <c r="B573" s="10"/>
      <c r="C573" s="11"/>
      <c r="D573" s="11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9.5" customHeight="1">
      <c r="A574" s="9"/>
      <c r="B574" s="10"/>
      <c r="C574" s="11"/>
      <c r="D574" s="11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9.5" customHeight="1">
      <c r="A575" s="9"/>
      <c r="B575" s="10"/>
      <c r="C575" s="11"/>
      <c r="D575" s="11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9.5" customHeight="1">
      <c r="A576" s="9"/>
      <c r="B576" s="10"/>
      <c r="C576" s="11"/>
      <c r="D576" s="11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9.5" customHeight="1">
      <c r="A577" s="9"/>
      <c r="B577" s="10"/>
      <c r="C577" s="11"/>
      <c r="D577" s="11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9.5" customHeight="1">
      <c r="A578" s="9"/>
      <c r="B578" s="10"/>
      <c r="C578" s="11"/>
      <c r="D578" s="11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9.5" customHeight="1">
      <c r="A579" s="9"/>
      <c r="B579" s="10"/>
      <c r="C579" s="11"/>
      <c r="D579" s="11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9.5" customHeight="1">
      <c r="A580" s="9"/>
      <c r="B580" s="10"/>
      <c r="C580" s="11"/>
      <c r="D580" s="11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9.5" customHeight="1">
      <c r="A581" s="9"/>
      <c r="B581" s="10"/>
      <c r="C581" s="11"/>
      <c r="D581" s="11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9.5" customHeight="1">
      <c r="A582" s="9"/>
      <c r="B582" s="10"/>
      <c r="C582" s="11"/>
      <c r="D582" s="11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9.5" customHeight="1">
      <c r="A583" s="9"/>
      <c r="B583" s="10"/>
      <c r="C583" s="11"/>
      <c r="D583" s="11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9.5" customHeight="1">
      <c r="A584" s="9"/>
      <c r="B584" s="10"/>
      <c r="C584" s="11"/>
      <c r="D584" s="11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9.5" customHeight="1">
      <c r="A585" s="9"/>
      <c r="B585" s="10"/>
      <c r="C585" s="11"/>
      <c r="D585" s="11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9.5" customHeight="1">
      <c r="A586" s="9"/>
      <c r="B586" s="10"/>
      <c r="C586" s="11"/>
      <c r="D586" s="11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9.5" customHeight="1">
      <c r="A587" s="9"/>
      <c r="B587" s="10"/>
      <c r="C587" s="11"/>
      <c r="D587" s="11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9.5" customHeight="1">
      <c r="A588" s="9"/>
      <c r="B588" s="10"/>
      <c r="C588" s="11"/>
      <c r="D588" s="11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9.5" customHeight="1">
      <c r="A589" s="9"/>
      <c r="B589" s="10"/>
      <c r="C589" s="11"/>
      <c r="D589" s="11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9.5" customHeight="1">
      <c r="A590" s="9"/>
      <c r="B590" s="10"/>
      <c r="C590" s="11"/>
      <c r="D590" s="11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9.5" customHeight="1">
      <c r="A591" s="9"/>
      <c r="B591" s="10"/>
      <c r="C591" s="11"/>
      <c r="D591" s="11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9.5" customHeight="1">
      <c r="A592" s="9"/>
      <c r="B592" s="10"/>
      <c r="C592" s="11"/>
      <c r="D592" s="11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9.5" customHeight="1">
      <c r="A593" s="9"/>
      <c r="B593" s="10"/>
      <c r="C593" s="11"/>
      <c r="D593" s="11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9.5" customHeight="1">
      <c r="A594" s="9"/>
      <c r="B594" s="10"/>
      <c r="C594" s="11"/>
      <c r="D594" s="11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9.5" customHeight="1">
      <c r="A595" s="9"/>
      <c r="B595" s="10"/>
      <c r="C595" s="11"/>
      <c r="D595" s="11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9.5" customHeight="1">
      <c r="A596" s="9"/>
      <c r="B596" s="10"/>
      <c r="C596" s="11"/>
      <c r="D596" s="11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9.5" customHeight="1">
      <c r="A597" s="9"/>
      <c r="B597" s="10"/>
      <c r="C597" s="11"/>
      <c r="D597" s="11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9.5" customHeight="1">
      <c r="A598" s="9"/>
      <c r="B598" s="10"/>
      <c r="C598" s="11"/>
      <c r="D598" s="11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9.5" customHeight="1">
      <c r="A599" s="9"/>
      <c r="B599" s="10"/>
      <c r="C599" s="11"/>
      <c r="D599" s="11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9.5" customHeight="1">
      <c r="A600" s="9"/>
      <c r="B600" s="10"/>
      <c r="C600" s="11"/>
      <c r="D600" s="11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9.5" customHeight="1">
      <c r="A601" s="9"/>
      <c r="B601" s="10"/>
      <c r="C601" s="11"/>
      <c r="D601" s="11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9.5" customHeight="1">
      <c r="A602" s="9"/>
      <c r="B602" s="10"/>
      <c r="C602" s="11"/>
      <c r="D602" s="11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9.5" customHeight="1">
      <c r="A603" s="9"/>
      <c r="B603" s="10"/>
      <c r="C603" s="11"/>
      <c r="D603" s="11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9.5" customHeight="1">
      <c r="A604" s="9"/>
      <c r="B604" s="10"/>
      <c r="C604" s="11"/>
      <c r="D604" s="11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9.5" customHeight="1">
      <c r="A605" s="9"/>
      <c r="B605" s="10"/>
      <c r="C605" s="11"/>
      <c r="D605" s="11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9.5" customHeight="1">
      <c r="A606" s="9"/>
      <c r="B606" s="10"/>
      <c r="C606" s="11"/>
      <c r="D606" s="11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9.5" customHeight="1">
      <c r="A607" s="9"/>
      <c r="B607" s="10"/>
      <c r="C607" s="11"/>
      <c r="D607" s="11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9.5" customHeight="1">
      <c r="A608" s="9"/>
      <c r="B608" s="10"/>
      <c r="C608" s="11"/>
      <c r="D608" s="11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9.5" customHeight="1">
      <c r="A609" s="9"/>
      <c r="B609" s="10"/>
      <c r="C609" s="11"/>
      <c r="D609" s="11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9.5" customHeight="1">
      <c r="A610" s="9"/>
      <c r="B610" s="10"/>
      <c r="C610" s="11"/>
      <c r="D610" s="11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9.5" customHeight="1">
      <c r="A611" s="9"/>
      <c r="B611" s="10"/>
      <c r="C611" s="11"/>
      <c r="D611" s="11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9.5" customHeight="1">
      <c r="A612" s="9"/>
      <c r="B612" s="10"/>
      <c r="C612" s="11"/>
      <c r="D612" s="11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9.5" customHeight="1">
      <c r="A613" s="9"/>
      <c r="B613" s="10"/>
      <c r="C613" s="11"/>
      <c r="D613" s="11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9.5" customHeight="1">
      <c r="A614" s="9"/>
      <c r="B614" s="10"/>
      <c r="C614" s="11"/>
      <c r="D614" s="11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9.5" customHeight="1">
      <c r="A615" s="9"/>
      <c r="B615" s="10"/>
      <c r="C615" s="11"/>
      <c r="D615" s="11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9.5" customHeight="1">
      <c r="A616" s="9"/>
      <c r="B616" s="10"/>
      <c r="C616" s="11"/>
      <c r="D616" s="11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9.5" customHeight="1">
      <c r="A617" s="9"/>
      <c r="B617" s="10"/>
      <c r="C617" s="11"/>
      <c r="D617" s="11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9.5" customHeight="1">
      <c r="A618" s="9"/>
      <c r="B618" s="10"/>
      <c r="C618" s="11"/>
      <c r="D618" s="11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9.5" customHeight="1">
      <c r="A619" s="9"/>
      <c r="B619" s="10"/>
      <c r="C619" s="11"/>
      <c r="D619" s="11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9.5" customHeight="1">
      <c r="A620" s="9"/>
      <c r="B620" s="10"/>
      <c r="C620" s="11"/>
      <c r="D620" s="11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9.5" customHeight="1">
      <c r="A621" s="9"/>
      <c r="B621" s="10"/>
      <c r="C621" s="11"/>
      <c r="D621" s="11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9.5" customHeight="1">
      <c r="A622" s="9"/>
      <c r="B622" s="10"/>
      <c r="C622" s="11"/>
      <c r="D622" s="11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9.5" customHeight="1">
      <c r="A623" s="9"/>
      <c r="B623" s="10"/>
      <c r="C623" s="11"/>
      <c r="D623" s="11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9.5" customHeight="1">
      <c r="A624" s="9"/>
      <c r="B624" s="10"/>
      <c r="C624" s="11"/>
      <c r="D624" s="11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9.5" customHeight="1">
      <c r="A625" s="9"/>
      <c r="B625" s="10"/>
      <c r="C625" s="11"/>
      <c r="D625" s="11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9.5" customHeight="1">
      <c r="A626" s="9"/>
      <c r="B626" s="10"/>
      <c r="C626" s="11"/>
      <c r="D626" s="11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9.5" customHeight="1">
      <c r="A627" s="9"/>
      <c r="B627" s="10"/>
      <c r="C627" s="11"/>
      <c r="D627" s="11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9.5" customHeight="1">
      <c r="A628" s="9"/>
      <c r="B628" s="10"/>
      <c r="C628" s="11"/>
      <c r="D628" s="11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9.5" customHeight="1">
      <c r="A629" s="9"/>
      <c r="B629" s="10"/>
      <c r="C629" s="11"/>
      <c r="D629" s="11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9.5" customHeight="1">
      <c r="A630" s="9"/>
      <c r="B630" s="10"/>
      <c r="C630" s="11"/>
      <c r="D630" s="11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9.5" customHeight="1">
      <c r="A631" s="9"/>
      <c r="B631" s="10"/>
      <c r="C631" s="11"/>
      <c r="D631" s="11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9.5" customHeight="1">
      <c r="A632" s="9"/>
      <c r="B632" s="10"/>
      <c r="C632" s="11"/>
      <c r="D632" s="11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9.5" customHeight="1">
      <c r="A633" s="9"/>
      <c r="B633" s="10"/>
      <c r="C633" s="11"/>
      <c r="D633" s="11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9.5" customHeight="1">
      <c r="A634" s="9"/>
      <c r="B634" s="10"/>
      <c r="C634" s="11"/>
      <c r="D634" s="11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9.5" customHeight="1">
      <c r="A635" s="9"/>
      <c r="B635" s="10"/>
      <c r="C635" s="11"/>
      <c r="D635" s="11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9.5" customHeight="1">
      <c r="A636" s="9"/>
      <c r="B636" s="10"/>
      <c r="C636" s="11"/>
      <c r="D636" s="11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9.5" customHeight="1">
      <c r="A637" s="9"/>
      <c r="B637" s="10"/>
      <c r="C637" s="11"/>
      <c r="D637" s="11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9.5" customHeight="1">
      <c r="A638" s="9"/>
      <c r="B638" s="10"/>
      <c r="C638" s="11"/>
      <c r="D638" s="11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9.5" customHeight="1">
      <c r="A639" s="9"/>
      <c r="B639" s="10"/>
      <c r="C639" s="11"/>
      <c r="D639" s="11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9.5" customHeight="1">
      <c r="A640" s="9"/>
      <c r="B640" s="10"/>
      <c r="C640" s="11"/>
      <c r="D640" s="11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9.5" customHeight="1">
      <c r="A641" s="9"/>
      <c r="B641" s="10"/>
      <c r="C641" s="11"/>
      <c r="D641" s="11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9.5" customHeight="1">
      <c r="A642" s="9"/>
      <c r="B642" s="10"/>
      <c r="C642" s="11"/>
      <c r="D642" s="11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9.5" customHeight="1">
      <c r="A643" s="9"/>
      <c r="B643" s="10"/>
      <c r="C643" s="11"/>
      <c r="D643" s="11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9.5" customHeight="1">
      <c r="A644" s="9"/>
      <c r="B644" s="10"/>
      <c r="C644" s="11"/>
      <c r="D644" s="11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9.5" customHeight="1">
      <c r="A645" s="9"/>
      <c r="B645" s="10"/>
      <c r="C645" s="11"/>
      <c r="D645" s="11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9.5" customHeight="1">
      <c r="A646" s="9"/>
      <c r="B646" s="10"/>
      <c r="C646" s="11"/>
      <c r="D646" s="11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9.5" customHeight="1">
      <c r="A647" s="9"/>
      <c r="B647" s="10"/>
      <c r="C647" s="11"/>
      <c r="D647" s="11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9.5" customHeight="1">
      <c r="A648" s="9"/>
      <c r="B648" s="10"/>
      <c r="C648" s="11"/>
      <c r="D648" s="11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9.5" customHeight="1">
      <c r="A649" s="9"/>
      <c r="B649" s="10"/>
      <c r="C649" s="11"/>
      <c r="D649" s="11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9.5" customHeight="1">
      <c r="A650" s="9"/>
      <c r="B650" s="10"/>
      <c r="C650" s="11"/>
      <c r="D650" s="11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9.5" customHeight="1">
      <c r="A651" s="9"/>
      <c r="B651" s="10"/>
      <c r="C651" s="11"/>
      <c r="D651" s="11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9.5" customHeight="1">
      <c r="A652" s="9"/>
      <c r="B652" s="10"/>
      <c r="C652" s="11"/>
      <c r="D652" s="11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9.5" customHeight="1">
      <c r="A653" s="9"/>
      <c r="B653" s="10"/>
      <c r="C653" s="11"/>
      <c r="D653" s="11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9.5" customHeight="1">
      <c r="A654" s="9"/>
      <c r="B654" s="10"/>
      <c r="C654" s="11"/>
      <c r="D654" s="11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9.5" customHeight="1">
      <c r="A655" s="9"/>
      <c r="B655" s="10"/>
      <c r="C655" s="11"/>
      <c r="D655" s="11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9.5" customHeight="1">
      <c r="A656" s="9"/>
      <c r="B656" s="10"/>
      <c r="C656" s="11"/>
      <c r="D656" s="11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9.5" customHeight="1">
      <c r="A657" s="9"/>
      <c r="B657" s="10"/>
      <c r="C657" s="11"/>
      <c r="D657" s="11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9.5" customHeight="1">
      <c r="A658" s="9"/>
      <c r="B658" s="10"/>
      <c r="C658" s="11"/>
      <c r="D658" s="11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9.5" customHeight="1">
      <c r="A659" s="9"/>
      <c r="B659" s="10"/>
      <c r="C659" s="11"/>
      <c r="D659" s="11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9.5" customHeight="1">
      <c r="A660" s="9"/>
      <c r="B660" s="10"/>
      <c r="C660" s="11"/>
      <c r="D660" s="11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9.5" customHeight="1">
      <c r="A661" s="9"/>
      <c r="B661" s="10"/>
      <c r="C661" s="11"/>
      <c r="D661" s="11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9.5" customHeight="1">
      <c r="A662" s="9"/>
      <c r="B662" s="10"/>
      <c r="C662" s="11"/>
      <c r="D662" s="11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9.5" customHeight="1">
      <c r="A663" s="9"/>
      <c r="B663" s="10"/>
      <c r="C663" s="11"/>
      <c r="D663" s="11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9.5" customHeight="1">
      <c r="A664" s="9"/>
      <c r="B664" s="10"/>
      <c r="C664" s="11"/>
      <c r="D664" s="11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9.5" customHeight="1">
      <c r="A665" s="9"/>
      <c r="B665" s="10"/>
      <c r="C665" s="11"/>
      <c r="D665" s="11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9.5" customHeight="1">
      <c r="A666" s="9"/>
      <c r="B666" s="10"/>
      <c r="C666" s="11"/>
      <c r="D666" s="11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9.5" customHeight="1">
      <c r="A667" s="9"/>
      <c r="B667" s="10"/>
      <c r="C667" s="11"/>
      <c r="D667" s="11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9.5" customHeight="1">
      <c r="A668" s="9"/>
      <c r="B668" s="10"/>
      <c r="C668" s="11"/>
      <c r="D668" s="11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9.5" customHeight="1">
      <c r="A669" s="9"/>
      <c r="B669" s="10"/>
      <c r="C669" s="11"/>
      <c r="D669" s="11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9.5" customHeight="1">
      <c r="A670" s="9"/>
      <c r="B670" s="10"/>
      <c r="C670" s="11"/>
      <c r="D670" s="11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9.5" customHeight="1">
      <c r="A671" s="9"/>
      <c r="B671" s="10"/>
      <c r="C671" s="11"/>
      <c r="D671" s="11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9.5" customHeight="1">
      <c r="A672" s="9"/>
      <c r="B672" s="10"/>
      <c r="C672" s="11"/>
      <c r="D672" s="11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9.5" customHeight="1">
      <c r="A673" s="9"/>
      <c r="B673" s="10"/>
      <c r="C673" s="11"/>
      <c r="D673" s="11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9.5" customHeight="1">
      <c r="A674" s="9"/>
      <c r="B674" s="10"/>
      <c r="C674" s="11"/>
      <c r="D674" s="11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9.5" customHeight="1">
      <c r="A675" s="9"/>
      <c r="B675" s="10"/>
      <c r="C675" s="11"/>
      <c r="D675" s="11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9.5" customHeight="1">
      <c r="A676" s="9"/>
      <c r="B676" s="10"/>
      <c r="C676" s="11"/>
      <c r="D676" s="11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9.5" customHeight="1">
      <c r="A677" s="9"/>
      <c r="B677" s="10"/>
      <c r="C677" s="11"/>
      <c r="D677" s="11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9.5" customHeight="1">
      <c r="A678" s="9"/>
      <c r="B678" s="10"/>
      <c r="C678" s="11"/>
      <c r="D678" s="11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9.5" customHeight="1">
      <c r="A679" s="9"/>
      <c r="B679" s="10"/>
      <c r="C679" s="11"/>
      <c r="D679" s="11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9.5" customHeight="1">
      <c r="A680" s="9"/>
      <c r="B680" s="10"/>
      <c r="C680" s="11"/>
      <c r="D680" s="11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9.5" customHeight="1">
      <c r="A681" s="9"/>
      <c r="B681" s="10"/>
      <c r="C681" s="11"/>
      <c r="D681" s="11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9.5" customHeight="1">
      <c r="A682" s="9"/>
      <c r="B682" s="10"/>
      <c r="C682" s="11"/>
      <c r="D682" s="11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9.5" customHeight="1">
      <c r="A683" s="9"/>
      <c r="B683" s="10"/>
      <c r="C683" s="11"/>
      <c r="D683" s="11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9.5" customHeight="1">
      <c r="A684" s="9"/>
      <c r="B684" s="10"/>
      <c r="C684" s="11"/>
      <c r="D684" s="11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9.5" customHeight="1">
      <c r="A685" s="9"/>
      <c r="B685" s="10"/>
      <c r="C685" s="11"/>
      <c r="D685" s="11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9.5" customHeight="1">
      <c r="A686" s="9"/>
      <c r="B686" s="10"/>
      <c r="C686" s="11"/>
      <c r="D686" s="11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9.5" customHeight="1">
      <c r="A687" s="9"/>
      <c r="B687" s="10"/>
      <c r="C687" s="11"/>
      <c r="D687" s="11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9.5" customHeight="1">
      <c r="A688" s="9"/>
      <c r="B688" s="10"/>
      <c r="C688" s="11"/>
      <c r="D688" s="11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9.5" customHeight="1">
      <c r="A689" s="9"/>
      <c r="B689" s="10"/>
      <c r="C689" s="11"/>
      <c r="D689" s="11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9.5" customHeight="1">
      <c r="A690" s="9"/>
      <c r="B690" s="10"/>
      <c r="C690" s="11"/>
      <c r="D690" s="11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9.5" customHeight="1">
      <c r="A691" s="9"/>
      <c r="B691" s="10"/>
      <c r="C691" s="11"/>
      <c r="D691" s="11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9.5" customHeight="1">
      <c r="A692" s="9"/>
      <c r="B692" s="10"/>
      <c r="C692" s="11"/>
      <c r="D692" s="11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9.5" customHeight="1">
      <c r="A693" s="9"/>
      <c r="B693" s="10"/>
      <c r="C693" s="11"/>
      <c r="D693" s="11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9.5" customHeight="1">
      <c r="A694" s="9"/>
      <c r="B694" s="10"/>
      <c r="C694" s="11"/>
      <c r="D694" s="11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9.5" customHeight="1">
      <c r="A695" s="9"/>
      <c r="B695" s="10"/>
      <c r="C695" s="11"/>
      <c r="D695" s="11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9.5" customHeight="1">
      <c r="A696" s="9"/>
      <c r="B696" s="10"/>
      <c r="C696" s="11"/>
      <c r="D696" s="11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9.5" customHeight="1">
      <c r="A697" s="9"/>
      <c r="B697" s="10"/>
      <c r="C697" s="11"/>
      <c r="D697" s="11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9.5" customHeight="1">
      <c r="A698" s="9"/>
      <c r="B698" s="10"/>
      <c r="C698" s="11"/>
      <c r="D698" s="11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9.5" customHeight="1">
      <c r="A699" s="9"/>
      <c r="B699" s="10"/>
      <c r="C699" s="11"/>
      <c r="D699" s="11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9.5" customHeight="1">
      <c r="A700" s="9"/>
      <c r="B700" s="10"/>
      <c r="C700" s="11"/>
      <c r="D700" s="11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9.5" customHeight="1">
      <c r="A701" s="9"/>
      <c r="B701" s="10"/>
      <c r="C701" s="11"/>
      <c r="D701" s="11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9.5" customHeight="1">
      <c r="A702" s="9"/>
      <c r="B702" s="10"/>
      <c r="C702" s="11"/>
      <c r="D702" s="11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9.5" customHeight="1">
      <c r="A703" s="9"/>
      <c r="B703" s="10"/>
      <c r="C703" s="11"/>
      <c r="D703" s="11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9.5" customHeight="1">
      <c r="A704" s="9"/>
      <c r="B704" s="10"/>
      <c r="C704" s="11"/>
      <c r="D704" s="11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9.5" customHeight="1">
      <c r="A705" s="9"/>
      <c r="B705" s="10"/>
      <c r="C705" s="11"/>
      <c r="D705" s="11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9.5" customHeight="1">
      <c r="A706" s="9"/>
      <c r="B706" s="10"/>
      <c r="C706" s="11"/>
      <c r="D706" s="11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9.5" customHeight="1">
      <c r="A707" s="9"/>
      <c r="B707" s="10"/>
      <c r="C707" s="11"/>
      <c r="D707" s="11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9.5" customHeight="1">
      <c r="A708" s="9"/>
      <c r="B708" s="10"/>
      <c r="C708" s="11"/>
      <c r="D708" s="11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9.5" customHeight="1">
      <c r="A709" s="9"/>
      <c r="B709" s="10"/>
      <c r="C709" s="11"/>
      <c r="D709" s="11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9.5" customHeight="1">
      <c r="A710" s="9"/>
      <c r="B710" s="10"/>
      <c r="C710" s="11"/>
      <c r="D710" s="11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9.5" customHeight="1">
      <c r="A711" s="9"/>
      <c r="B711" s="10"/>
      <c r="C711" s="11"/>
      <c r="D711" s="11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9.5" customHeight="1">
      <c r="A712" s="9"/>
      <c r="B712" s="10"/>
      <c r="C712" s="11"/>
      <c r="D712" s="11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9.5" customHeight="1">
      <c r="A713" s="9"/>
      <c r="B713" s="10"/>
      <c r="C713" s="11"/>
      <c r="D713" s="11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9.5" customHeight="1">
      <c r="A714" s="9"/>
      <c r="B714" s="10"/>
      <c r="C714" s="11"/>
      <c r="D714" s="11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9.5" customHeight="1">
      <c r="A715" s="9"/>
      <c r="B715" s="10"/>
      <c r="C715" s="11"/>
      <c r="D715" s="11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9.5" customHeight="1">
      <c r="A716" s="9"/>
      <c r="B716" s="10"/>
      <c r="C716" s="11"/>
      <c r="D716" s="11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9.5" customHeight="1">
      <c r="A717" s="9"/>
      <c r="B717" s="10"/>
      <c r="C717" s="11"/>
      <c r="D717" s="11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9.5" customHeight="1">
      <c r="A718" s="9"/>
      <c r="B718" s="10"/>
      <c r="C718" s="11"/>
      <c r="D718" s="11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9.5" customHeight="1">
      <c r="A719" s="9"/>
      <c r="B719" s="10"/>
      <c r="C719" s="11"/>
      <c r="D719" s="11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9.5" customHeight="1">
      <c r="A720" s="9"/>
      <c r="B720" s="10"/>
      <c r="C720" s="11"/>
      <c r="D720" s="11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9.5" customHeight="1">
      <c r="A721" s="9"/>
      <c r="B721" s="10"/>
      <c r="C721" s="11"/>
      <c r="D721" s="11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9.5" customHeight="1">
      <c r="A722" s="9"/>
      <c r="B722" s="10"/>
      <c r="C722" s="11"/>
      <c r="D722" s="11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9.5" customHeight="1">
      <c r="A723" s="9"/>
      <c r="B723" s="10"/>
      <c r="C723" s="11"/>
      <c r="D723" s="11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9.5" customHeight="1">
      <c r="A724" s="9"/>
      <c r="B724" s="10"/>
      <c r="C724" s="11"/>
      <c r="D724" s="11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9.5" customHeight="1">
      <c r="A725" s="9"/>
      <c r="B725" s="10"/>
      <c r="C725" s="11"/>
      <c r="D725" s="11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9.5" customHeight="1">
      <c r="A726" s="9"/>
      <c r="B726" s="10"/>
      <c r="C726" s="11"/>
      <c r="D726" s="11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9.5" customHeight="1">
      <c r="A727" s="9"/>
      <c r="B727" s="10"/>
      <c r="C727" s="11"/>
      <c r="D727" s="11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9.5" customHeight="1">
      <c r="A728" s="9"/>
      <c r="B728" s="10"/>
      <c r="C728" s="11"/>
      <c r="D728" s="11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9.5" customHeight="1">
      <c r="A729" s="9"/>
      <c r="B729" s="10"/>
      <c r="C729" s="11"/>
      <c r="D729" s="11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9.5" customHeight="1">
      <c r="A730" s="9"/>
      <c r="B730" s="10"/>
      <c r="C730" s="11"/>
      <c r="D730" s="11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9.5" customHeight="1">
      <c r="A731" s="9"/>
      <c r="B731" s="10"/>
      <c r="C731" s="11"/>
      <c r="D731" s="11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9.5" customHeight="1">
      <c r="A732" s="9"/>
      <c r="B732" s="10"/>
      <c r="C732" s="11"/>
      <c r="D732" s="11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9.5" customHeight="1">
      <c r="A733" s="9"/>
      <c r="B733" s="10"/>
      <c r="C733" s="11"/>
      <c r="D733" s="11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9.5" customHeight="1">
      <c r="A734" s="9"/>
      <c r="B734" s="10"/>
      <c r="C734" s="11"/>
      <c r="D734" s="11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9.5" customHeight="1">
      <c r="A735" s="9"/>
      <c r="B735" s="10"/>
      <c r="C735" s="11"/>
      <c r="D735" s="11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9.5" customHeight="1">
      <c r="A736" s="9"/>
      <c r="B736" s="10"/>
      <c r="C736" s="11"/>
      <c r="D736" s="11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9.5" customHeight="1">
      <c r="A737" s="9"/>
      <c r="B737" s="10"/>
      <c r="C737" s="11"/>
      <c r="D737" s="11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9.5" customHeight="1">
      <c r="A738" s="9"/>
      <c r="B738" s="10"/>
      <c r="C738" s="11"/>
      <c r="D738" s="11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9.5" customHeight="1">
      <c r="A739" s="9"/>
      <c r="B739" s="10"/>
      <c r="C739" s="11"/>
      <c r="D739" s="11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9.5" customHeight="1">
      <c r="A740" s="9"/>
      <c r="B740" s="10"/>
      <c r="C740" s="11"/>
      <c r="D740" s="11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9.5" customHeight="1">
      <c r="A741" s="9"/>
      <c r="B741" s="10"/>
      <c r="C741" s="11"/>
      <c r="D741" s="11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9.5" customHeight="1">
      <c r="A742" s="9"/>
      <c r="B742" s="10"/>
      <c r="C742" s="11"/>
      <c r="D742" s="11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9.5" customHeight="1">
      <c r="A743" s="9"/>
      <c r="B743" s="10"/>
      <c r="C743" s="11"/>
      <c r="D743" s="11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9.5" customHeight="1">
      <c r="A744" s="9"/>
      <c r="B744" s="10"/>
      <c r="C744" s="11"/>
      <c r="D744" s="11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9.5" customHeight="1">
      <c r="A745" s="9"/>
      <c r="B745" s="10"/>
      <c r="C745" s="11"/>
      <c r="D745" s="11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9.5" customHeight="1">
      <c r="A746" s="9"/>
      <c r="B746" s="10"/>
      <c r="C746" s="11"/>
      <c r="D746" s="11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9.5" customHeight="1">
      <c r="A747" s="9"/>
      <c r="B747" s="10"/>
      <c r="C747" s="11"/>
      <c r="D747" s="11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9.5" customHeight="1">
      <c r="A748" s="9"/>
      <c r="B748" s="10"/>
      <c r="C748" s="11"/>
      <c r="D748" s="11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9.5" customHeight="1">
      <c r="A749" s="9"/>
      <c r="B749" s="10"/>
      <c r="C749" s="11"/>
      <c r="D749" s="11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9.5" customHeight="1">
      <c r="A750" s="9"/>
      <c r="B750" s="10"/>
      <c r="C750" s="11"/>
      <c r="D750" s="11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9.5" customHeight="1">
      <c r="A751" s="9"/>
      <c r="B751" s="10"/>
      <c r="C751" s="11"/>
      <c r="D751" s="11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9.5" customHeight="1">
      <c r="A752" s="9"/>
      <c r="B752" s="10"/>
      <c r="C752" s="11"/>
      <c r="D752" s="11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9.5" customHeight="1">
      <c r="A753" s="9"/>
      <c r="B753" s="10"/>
      <c r="C753" s="11"/>
      <c r="D753" s="11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9.5" customHeight="1">
      <c r="A754" s="9"/>
      <c r="B754" s="10"/>
      <c r="C754" s="11"/>
      <c r="D754" s="11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9.5" customHeight="1">
      <c r="A755" s="9"/>
      <c r="B755" s="10"/>
      <c r="C755" s="11"/>
      <c r="D755" s="11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9.5" customHeight="1">
      <c r="A756" s="9"/>
      <c r="B756" s="10"/>
      <c r="C756" s="11"/>
      <c r="D756" s="11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9.5" customHeight="1">
      <c r="A757" s="9"/>
      <c r="B757" s="10"/>
      <c r="C757" s="11"/>
      <c r="D757" s="11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9.5" customHeight="1">
      <c r="A758" s="9"/>
      <c r="B758" s="10"/>
      <c r="C758" s="11"/>
      <c r="D758" s="11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9.5" customHeight="1">
      <c r="A759" s="9"/>
      <c r="B759" s="10"/>
      <c r="C759" s="11"/>
      <c r="D759" s="11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9.5" customHeight="1">
      <c r="A760" s="9"/>
      <c r="B760" s="10"/>
      <c r="C760" s="11"/>
      <c r="D760" s="11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9.5" customHeight="1">
      <c r="A761" s="9"/>
      <c r="B761" s="10"/>
      <c r="C761" s="11"/>
      <c r="D761" s="11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9.5" customHeight="1">
      <c r="A762" s="9"/>
      <c r="B762" s="10"/>
      <c r="C762" s="11"/>
      <c r="D762" s="11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9.5" customHeight="1">
      <c r="A763" s="9"/>
      <c r="B763" s="10"/>
      <c r="C763" s="11"/>
      <c r="D763" s="11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9.5" customHeight="1">
      <c r="A764" s="9"/>
      <c r="B764" s="10"/>
      <c r="C764" s="11"/>
      <c r="D764" s="11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9.5" customHeight="1">
      <c r="A765" s="9"/>
      <c r="B765" s="10"/>
      <c r="C765" s="11"/>
      <c r="D765" s="11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9.5" customHeight="1">
      <c r="A766" s="9"/>
      <c r="B766" s="10"/>
      <c r="C766" s="11"/>
      <c r="D766" s="11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9.5" customHeight="1">
      <c r="A767" s="9"/>
      <c r="B767" s="10"/>
      <c r="C767" s="11"/>
      <c r="D767" s="11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9.5" customHeight="1">
      <c r="A768" s="9"/>
      <c r="B768" s="10"/>
      <c r="C768" s="11"/>
      <c r="D768" s="11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9.5" customHeight="1">
      <c r="A769" s="9"/>
      <c r="B769" s="10"/>
      <c r="C769" s="11"/>
      <c r="D769" s="11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9.5" customHeight="1">
      <c r="A770" s="9"/>
      <c r="B770" s="10"/>
      <c r="C770" s="11"/>
      <c r="D770" s="11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9.5" customHeight="1">
      <c r="A771" s="9"/>
      <c r="B771" s="10"/>
      <c r="C771" s="11"/>
      <c r="D771" s="11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9.5" customHeight="1">
      <c r="A772" s="9"/>
      <c r="B772" s="10"/>
      <c r="C772" s="11"/>
      <c r="D772" s="11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9.5" customHeight="1">
      <c r="A773" s="9"/>
      <c r="B773" s="10"/>
      <c r="C773" s="11"/>
      <c r="D773" s="11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9.5" customHeight="1">
      <c r="A774" s="9"/>
      <c r="B774" s="10"/>
      <c r="C774" s="11"/>
      <c r="D774" s="11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9.5" customHeight="1">
      <c r="A775" s="9"/>
      <c r="B775" s="10"/>
      <c r="C775" s="11"/>
      <c r="D775" s="11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9.5" customHeight="1">
      <c r="A776" s="9"/>
      <c r="B776" s="10"/>
      <c r="C776" s="11"/>
      <c r="D776" s="11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9.5" customHeight="1">
      <c r="A777" s="9"/>
      <c r="B777" s="10"/>
      <c r="C777" s="11"/>
      <c r="D777" s="11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9.5" customHeight="1">
      <c r="A778" s="9"/>
      <c r="B778" s="10"/>
      <c r="C778" s="11"/>
      <c r="D778" s="11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9.5" customHeight="1">
      <c r="A779" s="9"/>
      <c r="B779" s="10"/>
      <c r="C779" s="11"/>
      <c r="D779" s="11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9.5" customHeight="1">
      <c r="A780" s="9"/>
      <c r="B780" s="10"/>
      <c r="C780" s="11"/>
      <c r="D780" s="11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9.5" customHeight="1">
      <c r="A781" s="9"/>
      <c r="B781" s="10"/>
      <c r="C781" s="11"/>
      <c r="D781" s="11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9.5" customHeight="1">
      <c r="A782" s="9"/>
      <c r="B782" s="10"/>
      <c r="C782" s="11"/>
      <c r="D782" s="11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9.5" customHeight="1">
      <c r="A783" s="9"/>
      <c r="B783" s="10"/>
      <c r="C783" s="11"/>
      <c r="D783" s="11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9.5" customHeight="1">
      <c r="A784" s="9"/>
      <c r="B784" s="10"/>
      <c r="C784" s="11"/>
      <c r="D784" s="11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9.5" customHeight="1">
      <c r="A785" s="9"/>
      <c r="B785" s="10"/>
      <c r="C785" s="11"/>
      <c r="D785" s="11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9.5" customHeight="1">
      <c r="A786" s="9"/>
      <c r="B786" s="10"/>
      <c r="C786" s="11"/>
      <c r="D786" s="11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9.5" customHeight="1">
      <c r="A787" s="9"/>
      <c r="B787" s="10"/>
      <c r="C787" s="11"/>
      <c r="D787" s="11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9.5" customHeight="1">
      <c r="A788" s="9"/>
      <c r="B788" s="10"/>
      <c r="C788" s="11"/>
      <c r="D788" s="11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9.5" customHeight="1">
      <c r="A789" s="9"/>
      <c r="B789" s="10"/>
      <c r="C789" s="11"/>
      <c r="D789" s="11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9.5" customHeight="1">
      <c r="A790" s="9"/>
      <c r="B790" s="10"/>
      <c r="C790" s="11"/>
      <c r="D790" s="11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9.5" customHeight="1">
      <c r="A791" s="9"/>
      <c r="B791" s="10"/>
      <c r="C791" s="11"/>
      <c r="D791" s="11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9.5" customHeight="1">
      <c r="A792" s="9"/>
      <c r="B792" s="10"/>
      <c r="C792" s="11"/>
      <c r="D792" s="11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9.5" customHeight="1">
      <c r="A793" s="9"/>
      <c r="B793" s="10"/>
      <c r="C793" s="11"/>
      <c r="D793" s="11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9.5" customHeight="1">
      <c r="A794" s="9"/>
      <c r="B794" s="10"/>
      <c r="C794" s="11"/>
      <c r="D794" s="11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9.5" customHeight="1">
      <c r="A795" s="9"/>
      <c r="B795" s="10"/>
      <c r="C795" s="11"/>
      <c r="D795" s="11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9.5" customHeight="1">
      <c r="A796" s="9"/>
      <c r="B796" s="10"/>
      <c r="C796" s="11"/>
      <c r="D796" s="11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9.5" customHeight="1">
      <c r="A797" s="9"/>
      <c r="B797" s="10"/>
      <c r="C797" s="11"/>
      <c r="D797" s="11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9.5" customHeight="1">
      <c r="A798" s="9"/>
      <c r="B798" s="10"/>
      <c r="C798" s="11"/>
      <c r="D798" s="11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9.5" customHeight="1">
      <c r="A799" s="9"/>
      <c r="B799" s="10"/>
      <c r="C799" s="11"/>
      <c r="D799" s="11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9.5" customHeight="1">
      <c r="A800" s="9"/>
      <c r="B800" s="10"/>
      <c r="C800" s="11"/>
      <c r="D800" s="11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9.5" customHeight="1">
      <c r="A801" s="9"/>
      <c r="B801" s="10"/>
      <c r="C801" s="11"/>
      <c r="D801" s="11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9.5" customHeight="1">
      <c r="A802" s="9"/>
      <c r="B802" s="10"/>
      <c r="C802" s="11"/>
      <c r="D802" s="11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9.5" customHeight="1">
      <c r="A803" s="9"/>
      <c r="B803" s="10"/>
      <c r="C803" s="11"/>
      <c r="D803" s="11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9.5" customHeight="1">
      <c r="A804" s="9"/>
      <c r="B804" s="10"/>
      <c r="C804" s="11"/>
      <c r="D804" s="11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9.5" customHeight="1">
      <c r="A805" s="9"/>
      <c r="B805" s="10"/>
      <c r="C805" s="11"/>
      <c r="D805" s="11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9.5" customHeight="1">
      <c r="A806" s="9"/>
      <c r="B806" s="10"/>
      <c r="C806" s="11"/>
      <c r="D806" s="11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9.5" customHeight="1">
      <c r="A807" s="9"/>
      <c r="B807" s="10"/>
      <c r="C807" s="11"/>
      <c r="D807" s="11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9.5" customHeight="1">
      <c r="A808" s="9"/>
      <c r="B808" s="10"/>
      <c r="C808" s="11"/>
      <c r="D808" s="11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9.5" customHeight="1">
      <c r="A809" s="9"/>
      <c r="B809" s="10"/>
      <c r="C809" s="11"/>
      <c r="D809" s="11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9.5" customHeight="1">
      <c r="A810" s="9"/>
      <c r="B810" s="10"/>
      <c r="C810" s="11"/>
      <c r="D810" s="11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9.5" customHeight="1">
      <c r="A811" s="9"/>
      <c r="B811" s="10"/>
      <c r="C811" s="11"/>
      <c r="D811" s="11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9.5" customHeight="1">
      <c r="A812" s="9"/>
      <c r="B812" s="10"/>
      <c r="C812" s="11"/>
      <c r="D812" s="11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9.5" customHeight="1">
      <c r="A813" s="9"/>
      <c r="B813" s="10"/>
      <c r="C813" s="11"/>
      <c r="D813" s="11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9.5" customHeight="1">
      <c r="A814" s="9"/>
      <c r="B814" s="10"/>
      <c r="C814" s="11"/>
      <c r="D814" s="11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9.5" customHeight="1">
      <c r="A815" s="9"/>
      <c r="B815" s="10"/>
      <c r="C815" s="11"/>
      <c r="D815" s="11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9.5" customHeight="1">
      <c r="A816" s="9"/>
      <c r="B816" s="10"/>
      <c r="C816" s="11"/>
      <c r="D816" s="11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9.5" customHeight="1">
      <c r="A817" s="9"/>
      <c r="B817" s="10"/>
      <c r="C817" s="11"/>
      <c r="D817" s="11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9.5" customHeight="1">
      <c r="A818" s="9"/>
      <c r="B818" s="10"/>
      <c r="C818" s="11"/>
      <c r="D818" s="11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9.5" customHeight="1">
      <c r="A819" s="9"/>
      <c r="B819" s="10"/>
      <c r="C819" s="11"/>
      <c r="D819" s="11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9.5" customHeight="1">
      <c r="A820" s="9"/>
      <c r="B820" s="10"/>
      <c r="C820" s="11"/>
      <c r="D820" s="11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9.5" customHeight="1">
      <c r="A821" s="9"/>
      <c r="B821" s="10"/>
      <c r="C821" s="11"/>
      <c r="D821" s="11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9.5" customHeight="1">
      <c r="A822" s="9"/>
      <c r="B822" s="10"/>
      <c r="C822" s="11"/>
      <c r="D822" s="11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9.5" customHeight="1">
      <c r="A823" s="9"/>
      <c r="B823" s="10"/>
      <c r="C823" s="11"/>
      <c r="D823" s="11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9.5" customHeight="1">
      <c r="A824" s="9"/>
      <c r="B824" s="10"/>
      <c r="C824" s="11"/>
      <c r="D824" s="11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9.5" customHeight="1">
      <c r="A825" s="9"/>
      <c r="B825" s="10"/>
      <c r="C825" s="11"/>
      <c r="D825" s="11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9.5" customHeight="1">
      <c r="A826" s="9"/>
      <c r="B826" s="10"/>
      <c r="C826" s="11"/>
      <c r="D826" s="11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9.5" customHeight="1">
      <c r="A827" s="9"/>
      <c r="B827" s="10"/>
      <c r="C827" s="11"/>
      <c r="D827" s="11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9.5" customHeight="1">
      <c r="A828" s="9"/>
      <c r="B828" s="10"/>
      <c r="C828" s="11"/>
      <c r="D828" s="11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9.5" customHeight="1">
      <c r="A829" s="9"/>
      <c r="B829" s="10"/>
      <c r="C829" s="11"/>
      <c r="D829" s="11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9.5" customHeight="1">
      <c r="A830" s="9"/>
      <c r="B830" s="10"/>
      <c r="C830" s="11"/>
      <c r="D830" s="11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9.5" customHeight="1">
      <c r="A831" s="9"/>
      <c r="B831" s="10"/>
      <c r="C831" s="11"/>
      <c r="D831" s="11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9.5" customHeight="1">
      <c r="A832" s="9"/>
      <c r="B832" s="10"/>
      <c r="C832" s="11"/>
      <c r="D832" s="11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9.5" customHeight="1">
      <c r="A833" s="9"/>
      <c r="B833" s="10"/>
      <c r="C833" s="11"/>
      <c r="D833" s="11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9.5" customHeight="1">
      <c r="A834" s="9"/>
      <c r="B834" s="10"/>
      <c r="C834" s="11"/>
      <c r="D834" s="11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9.5" customHeight="1">
      <c r="A835" s="9"/>
      <c r="B835" s="10"/>
      <c r="C835" s="11"/>
      <c r="D835" s="11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9.5" customHeight="1">
      <c r="A836" s="9"/>
      <c r="B836" s="10"/>
      <c r="C836" s="11"/>
      <c r="D836" s="11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9.5" customHeight="1">
      <c r="A837" s="9"/>
      <c r="B837" s="10"/>
      <c r="C837" s="11"/>
      <c r="D837" s="11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9.5" customHeight="1">
      <c r="A838" s="9"/>
      <c r="B838" s="10"/>
      <c r="C838" s="11"/>
      <c r="D838" s="11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9.5" customHeight="1">
      <c r="A839" s="9"/>
      <c r="B839" s="10"/>
      <c r="C839" s="11"/>
      <c r="D839" s="11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9.5" customHeight="1">
      <c r="A840" s="9"/>
      <c r="B840" s="10"/>
      <c r="C840" s="11"/>
      <c r="D840" s="11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9.5" customHeight="1">
      <c r="A841" s="9"/>
      <c r="B841" s="10"/>
      <c r="C841" s="11"/>
      <c r="D841" s="11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9.5" customHeight="1">
      <c r="A842" s="9"/>
      <c r="B842" s="10"/>
      <c r="C842" s="11"/>
      <c r="D842" s="11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9.5" customHeight="1">
      <c r="A843" s="9"/>
      <c r="B843" s="10"/>
      <c r="C843" s="11"/>
      <c r="D843" s="11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9.5" customHeight="1">
      <c r="A844" s="9"/>
      <c r="B844" s="10"/>
      <c r="C844" s="11"/>
      <c r="D844" s="11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9.5" customHeight="1">
      <c r="A845" s="9"/>
      <c r="B845" s="10"/>
      <c r="C845" s="11"/>
      <c r="D845" s="11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9.5" customHeight="1">
      <c r="A846" s="9"/>
      <c r="B846" s="10"/>
      <c r="C846" s="11"/>
      <c r="D846" s="11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9.5" customHeight="1">
      <c r="A847" s="9"/>
      <c r="B847" s="10"/>
      <c r="C847" s="11"/>
      <c r="D847" s="11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9.5" customHeight="1">
      <c r="A848" s="9"/>
      <c r="B848" s="10"/>
      <c r="C848" s="11"/>
      <c r="D848" s="11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9.5" customHeight="1">
      <c r="A849" s="9"/>
      <c r="B849" s="10"/>
      <c r="C849" s="11"/>
      <c r="D849" s="11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9.5" customHeight="1">
      <c r="A850" s="9"/>
      <c r="B850" s="10"/>
      <c r="C850" s="11"/>
      <c r="D850" s="11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9.5" customHeight="1">
      <c r="A851" s="9"/>
      <c r="B851" s="10"/>
      <c r="C851" s="11"/>
      <c r="D851" s="11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9.5" customHeight="1">
      <c r="A852" s="9"/>
      <c r="B852" s="10"/>
      <c r="C852" s="11"/>
      <c r="D852" s="11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9.5" customHeight="1">
      <c r="A853" s="9"/>
      <c r="B853" s="10"/>
      <c r="C853" s="11"/>
      <c r="D853" s="11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9.5" customHeight="1">
      <c r="A854" s="9"/>
      <c r="B854" s="10"/>
      <c r="C854" s="11"/>
      <c r="D854" s="11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9.5" customHeight="1">
      <c r="A855" s="9"/>
      <c r="B855" s="10"/>
      <c r="C855" s="11"/>
      <c r="D855" s="11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9.5" customHeight="1">
      <c r="A856" s="9"/>
      <c r="B856" s="10"/>
      <c r="C856" s="11"/>
      <c r="D856" s="11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9.5" customHeight="1">
      <c r="A857" s="9"/>
      <c r="B857" s="10"/>
      <c r="C857" s="11"/>
      <c r="D857" s="11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9.5" customHeight="1">
      <c r="A858" s="9"/>
      <c r="B858" s="10"/>
      <c r="C858" s="11"/>
      <c r="D858" s="11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9.5" customHeight="1">
      <c r="A859" s="9"/>
      <c r="B859" s="10"/>
      <c r="C859" s="11"/>
      <c r="D859" s="11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9.5" customHeight="1">
      <c r="A860" s="9"/>
      <c r="B860" s="10"/>
      <c r="C860" s="11"/>
      <c r="D860" s="11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9.5" customHeight="1">
      <c r="A861" s="9"/>
      <c r="B861" s="10"/>
      <c r="C861" s="11"/>
      <c r="D861" s="11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9.5" customHeight="1">
      <c r="A862" s="9"/>
      <c r="B862" s="10"/>
      <c r="C862" s="11"/>
      <c r="D862" s="11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9.5" customHeight="1">
      <c r="A863" s="9"/>
      <c r="B863" s="10"/>
      <c r="C863" s="11"/>
      <c r="D863" s="11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9.5" customHeight="1">
      <c r="A864" s="9"/>
      <c r="B864" s="10"/>
      <c r="C864" s="11"/>
      <c r="D864" s="11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9.5" customHeight="1">
      <c r="A865" s="9"/>
      <c r="B865" s="10"/>
      <c r="C865" s="11"/>
      <c r="D865" s="11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9.5" customHeight="1">
      <c r="A866" s="9"/>
      <c r="B866" s="10"/>
      <c r="C866" s="11"/>
      <c r="D866" s="11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9.5" customHeight="1">
      <c r="A867" s="9"/>
      <c r="B867" s="10"/>
      <c r="C867" s="11"/>
      <c r="D867" s="11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9.5" customHeight="1">
      <c r="A868" s="9"/>
      <c r="B868" s="10"/>
      <c r="C868" s="11"/>
      <c r="D868" s="11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9.5" customHeight="1">
      <c r="A869" s="9"/>
      <c r="B869" s="10"/>
      <c r="C869" s="11"/>
      <c r="D869" s="11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9.5" customHeight="1">
      <c r="A870" s="9"/>
      <c r="B870" s="10"/>
      <c r="C870" s="11"/>
      <c r="D870" s="11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9.5" customHeight="1">
      <c r="A871" s="9"/>
      <c r="B871" s="10"/>
      <c r="C871" s="11"/>
      <c r="D871" s="11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9.5" customHeight="1">
      <c r="A872" s="9"/>
      <c r="B872" s="10"/>
      <c r="C872" s="11"/>
      <c r="D872" s="11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9.5" customHeight="1">
      <c r="A873" s="9"/>
      <c r="B873" s="10"/>
      <c r="C873" s="11"/>
      <c r="D873" s="11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9.5" customHeight="1">
      <c r="A874" s="9"/>
      <c r="B874" s="10"/>
      <c r="C874" s="11"/>
      <c r="D874" s="11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9.5" customHeight="1">
      <c r="A875" s="9"/>
      <c r="B875" s="10"/>
      <c r="C875" s="11"/>
      <c r="D875" s="11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9.5" customHeight="1">
      <c r="A876" s="9"/>
      <c r="B876" s="10"/>
      <c r="C876" s="11"/>
      <c r="D876" s="11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9.5" customHeight="1">
      <c r="A877" s="9"/>
      <c r="B877" s="10"/>
      <c r="C877" s="11"/>
      <c r="D877" s="11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9.5" customHeight="1">
      <c r="A878" s="9"/>
      <c r="B878" s="10"/>
      <c r="C878" s="11"/>
      <c r="D878" s="11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9.5" customHeight="1">
      <c r="A879" s="9"/>
      <c r="B879" s="10"/>
      <c r="C879" s="11"/>
      <c r="D879" s="11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9.5" customHeight="1">
      <c r="A880" s="9"/>
      <c r="B880" s="10"/>
      <c r="C880" s="11"/>
      <c r="D880" s="11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9.5" customHeight="1">
      <c r="A881" s="9"/>
      <c r="B881" s="10"/>
      <c r="C881" s="11"/>
      <c r="D881" s="11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9.5" customHeight="1">
      <c r="A882" s="9"/>
      <c r="B882" s="10"/>
      <c r="C882" s="11"/>
      <c r="D882" s="11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9.5" customHeight="1">
      <c r="A883" s="9"/>
      <c r="B883" s="10"/>
      <c r="C883" s="11"/>
      <c r="D883" s="11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9.5" customHeight="1">
      <c r="A884" s="9"/>
      <c r="B884" s="10"/>
      <c r="C884" s="11"/>
      <c r="D884" s="11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9.5" customHeight="1">
      <c r="A885" s="9"/>
      <c r="B885" s="10"/>
      <c r="C885" s="11"/>
      <c r="D885" s="11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9.5" customHeight="1">
      <c r="A886" s="9"/>
      <c r="B886" s="10"/>
      <c r="C886" s="11"/>
      <c r="D886" s="11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9.5" customHeight="1">
      <c r="A887" s="9"/>
      <c r="B887" s="10"/>
      <c r="C887" s="11"/>
      <c r="D887" s="11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9.5" customHeight="1">
      <c r="A888" s="9"/>
      <c r="B888" s="10"/>
      <c r="C888" s="11"/>
      <c r="D888" s="11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9.5" customHeight="1">
      <c r="A889" s="9"/>
      <c r="B889" s="10"/>
      <c r="C889" s="11"/>
      <c r="D889" s="11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9.5" customHeight="1">
      <c r="A890" s="9"/>
      <c r="B890" s="10"/>
      <c r="C890" s="11"/>
      <c r="D890" s="11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9.5" customHeight="1">
      <c r="A891" s="9"/>
      <c r="B891" s="10"/>
      <c r="C891" s="11"/>
      <c r="D891" s="11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9.5" customHeight="1">
      <c r="A892" s="9"/>
      <c r="B892" s="10"/>
      <c r="C892" s="11"/>
      <c r="D892" s="11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9.5" customHeight="1">
      <c r="A893" s="9"/>
      <c r="B893" s="10"/>
      <c r="C893" s="11"/>
      <c r="D893" s="11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9.5" customHeight="1">
      <c r="A894" s="9"/>
      <c r="B894" s="10"/>
      <c r="C894" s="11"/>
      <c r="D894" s="11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9.5" customHeight="1">
      <c r="A895" s="9"/>
      <c r="B895" s="10"/>
      <c r="C895" s="11"/>
      <c r="D895" s="11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9.5" customHeight="1">
      <c r="A896" s="9"/>
      <c r="B896" s="10"/>
      <c r="C896" s="11"/>
      <c r="D896" s="11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9.5" customHeight="1">
      <c r="A897" s="9"/>
      <c r="B897" s="10"/>
      <c r="C897" s="11"/>
      <c r="D897" s="11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9.5" customHeight="1">
      <c r="A898" s="9"/>
      <c r="B898" s="10"/>
      <c r="C898" s="11"/>
      <c r="D898" s="11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9.5" customHeight="1">
      <c r="A899" s="9"/>
      <c r="B899" s="10"/>
      <c r="C899" s="11"/>
      <c r="D899" s="11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9.5" customHeight="1">
      <c r="A900" s="9"/>
      <c r="B900" s="10"/>
      <c r="C900" s="11"/>
      <c r="D900" s="11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9.5" customHeight="1">
      <c r="A901" s="9"/>
      <c r="B901" s="10"/>
      <c r="C901" s="11"/>
      <c r="D901" s="11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9.5" customHeight="1">
      <c r="A902" s="9"/>
      <c r="B902" s="10"/>
      <c r="C902" s="11"/>
      <c r="D902" s="11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9.5" customHeight="1">
      <c r="A903" s="9"/>
      <c r="B903" s="10"/>
      <c r="C903" s="11"/>
      <c r="D903" s="11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9.5" customHeight="1">
      <c r="A904" s="9"/>
      <c r="B904" s="10"/>
      <c r="C904" s="11"/>
      <c r="D904" s="11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9.5" customHeight="1">
      <c r="A905" s="9"/>
      <c r="B905" s="10"/>
      <c r="C905" s="11"/>
      <c r="D905" s="11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9.5" customHeight="1">
      <c r="A906" s="9"/>
      <c r="B906" s="10"/>
      <c r="C906" s="11"/>
      <c r="D906" s="11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9.5" customHeight="1">
      <c r="A907" s="9"/>
      <c r="B907" s="10"/>
      <c r="C907" s="11"/>
      <c r="D907" s="11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9.5" customHeight="1">
      <c r="A908" s="9"/>
      <c r="B908" s="10"/>
      <c r="C908" s="11"/>
      <c r="D908" s="11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9.5" customHeight="1">
      <c r="A909" s="9"/>
      <c r="B909" s="10"/>
      <c r="C909" s="11"/>
      <c r="D909" s="11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9.5" customHeight="1">
      <c r="A910" s="9"/>
      <c r="B910" s="10"/>
      <c r="C910" s="11"/>
      <c r="D910" s="11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9.5" customHeight="1">
      <c r="A911" s="9"/>
      <c r="B911" s="10"/>
      <c r="C911" s="11"/>
      <c r="D911" s="11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9.5" customHeight="1">
      <c r="A912" s="9"/>
      <c r="B912" s="10"/>
      <c r="C912" s="11"/>
      <c r="D912" s="11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9.5" customHeight="1">
      <c r="A913" s="9"/>
      <c r="B913" s="10"/>
      <c r="C913" s="11"/>
      <c r="D913" s="11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9.5" customHeight="1">
      <c r="A914" s="9"/>
      <c r="B914" s="10"/>
      <c r="C914" s="11"/>
      <c r="D914" s="11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9.5" customHeight="1">
      <c r="A915" s="9"/>
      <c r="B915" s="10"/>
      <c r="C915" s="11"/>
      <c r="D915" s="11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9.5" customHeight="1">
      <c r="A916" s="9"/>
      <c r="B916" s="10"/>
      <c r="C916" s="11"/>
      <c r="D916" s="11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9.5" customHeight="1">
      <c r="A917" s="9"/>
      <c r="B917" s="10"/>
      <c r="C917" s="11"/>
      <c r="D917" s="11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9.5" customHeight="1">
      <c r="A918" s="9"/>
      <c r="B918" s="10"/>
      <c r="C918" s="11"/>
      <c r="D918" s="11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9.5" customHeight="1">
      <c r="A919" s="9"/>
      <c r="B919" s="10"/>
      <c r="C919" s="11"/>
      <c r="D919" s="11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9.5" customHeight="1">
      <c r="A920" s="9"/>
      <c r="B920" s="10"/>
      <c r="C920" s="11"/>
      <c r="D920" s="11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9.5" customHeight="1">
      <c r="A921" s="9"/>
      <c r="B921" s="10"/>
      <c r="C921" s="11"/>
      <c r="D921" s="11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9.5" customHeight="1">
      <c r="A922" s="9"/>
      <c r="B922" s="10"/>
      <c r="C922" s="11"/>
      <c r="D922" s="11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9.5" customHeight="1">
      <c r="A923" s="9"/>
      <c r="B923" s="10"/>
      <c r="C923" s="11"/>
      <c r="D923" s="11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9.5" customHeight="1">
      <c r="A924" s="9"/>
      <c r="B924" s="10"/>
      <c r="C924" s="11"/>
      <c r="D924" s="11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9.5" customHeight="1">
      <c r="A925" s="9"/>
      <c r="B925" s="10"/>
      <c r="C925" s="11"/>
      <c r="D925" s="11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9.5" customHeight="1">
      <c r="A926" s="9"/>
      <c r="B926" s="10"/>
      <c r="C926" s="11"/>
      <c r="D926" s="11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9.5" customHeight="1">
      <c r="A927" s="9"/>
      <c r="B927" s="10"/>
      <c r="C927" s="11"/>
      <c r="D927" s="11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9.5" customHeight="1">
      <c r="A928" s="9"/>
      <c r="B928" s="10"/>
      <c r="C928" s="11"/>
      <c r="D928" s="11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9.5" customHeight="1">
      <c r="A929" s="9"/>
      <c r="B929" s="10"/>
      <c r="C929" s="11"/>
      <c r="D929" s="11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9.5" customHeight="1">
      <c r="A930" s="9"/>
      <c r="B930" s="10"/>
      <c r="C930" s="11"/>
      <c r="D930" s="11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9.5" customHeight="1">
      <c r="A931" s="9"/>
      <c r="B931" s="10"/>
      <c r="C931" s="11"/>
      <c r="D931" s="11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9.5" customHeight="1">
      <c r="A932" s="9"/>
      <c r="B932" s="10"/>
      <c r="C932" s="11"/>
      <c r="D932" s="11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9.5" customHeight="1">
      <c r="A933" s="9"/>
      <c r="B933" s="10"/>
      <c r="C933" s="11"/>
      <c r="D933" s="11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9.5" customHeight="1">
      <c r="A934" s="9"/>
      <c r="B934" s="10"/>
      <c r="C934" s="11"/>
      <c r="D934" s="11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9.5" customHeight="1">
      <c r="A935" s="9"/>
      <c r="B935" s="10"/>
      <c r="C935" s="11"/>
      <c r="D935" s="11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9.5" customHeight="1">
      <c r="A936" s="9"/>
      <c r="B936" s="10"/>
      <c r="C936" s="11"/>
      <c r="D936" s="11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9.5" customHeight="1">
      <c r="A937" s="9"/>
      <c r="B937" s="10"/>
      <c r="C937" s="11"/>
      <c r="D937" s="11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9.5" customHeight="1">
      <c r="A938" s="9"/>
      <c r="B938" s="10"/>
      <c r="C938" s="11"/>
      <c r="D938" s="11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9.5" customHeight="1">
      <c r="A939" s="9"/>
      <c r="B939" s="10"/>
      <c r="C939" s="11"/>
      <c r="D939" s="11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9.5" customHeight="1">
      <c r="A940" s="9"/>
      <c r="B940" s="10"/>
      <c r="C940" s="11"/>
      <c r="D940" s="11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9.5" customHeight="1">
      <c r="A941" s="9"/>
      <c r="B941" s="10"/>
      <c r="C941" s="11"/>
      <c r="D941" s="11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9.5" customHeight="1">
      <c r="A942" s="9"/>
      <c r="B942" s="10"/>
      <c r="C942" s="11"/>
      <c r="D942" s="11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9.5" customHeight="1">
      <c r="A943" s="9"/>
      <c r="B943" s="10"/>
      <c r="C943" s="11"/>
      <c r="D943" s="11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9.5" customHeight="1">
      <c r="A944" s="9"/>
      <c r="B944" s="10"/>
      <c r="C944" s="11"/>
      <c r="D944" s="11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9.5" customHeight="1">
      <c r="A945" s="9"/>
      <c r="B945" s="10"/>
      <c r="C945" s="11"/>
      <c r="D945" s="11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9.5" customHeight="1">
      <c r="A946" s="9"/>
      <c r="B946" s="10"/>
      <c r="C946" s="11"/>
      <c r="D946" s="11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9.5" customHeight="1">
      <c r="A947" s="9"/>
      <c r="B947" s="10"/>
      <c r="C947" s="11"/>
      <c r="D947" s="11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9.5" customHeight="1">
      <c r="A948" s="9"/>
      <c r="B948" s="10"/>
      <c r="C948" s="11"/>
      <c r="D948" s="11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9.5" customHeight="1">
      <c r="A949" s="9"/>
      <c r="B949" s="10"/>
      <c r="C949" s="11"/>
      <c r="D949" s="11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9.5" customHeight="1">
      <c r="A950" s="9"/>
      <c r="B950" s="10"/>
      <c r="C950" s="11"/>
      <c r="D950" s="11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9.5" customHeight="1">
      <c r="A951" s="9"/>
      <c r="B951" s="10"/>
      <c r="C951" s="11"/>
      <c r="D951" s="11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9.5" customHeight="1">
      <c r="A952" s="9"/>
      <c r="B952" s="10"/>
      <c r="C952" s="11"/>
      <c r="D952" s="11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9.5" customHeight="1">
      <c r="A953" s="9"/>
      <c r="B953" s="10"/>
      <c r="C953" s="11"/>
      <c r="D953" s="11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9.5" customHeight="1">
      <c r="A954" s="9"/>
      <c r="B954" s="10"/>
      <c r="C954" s="11"/>
      <c r="D954" s="11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9.5" customHeight="1">
      <c r="A955" s="9"/>
      <c r="B955" s="10"/>
      <c r="C955" s="11"/>
      <c r="D955" s="11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9.5" customHeight="1">
      <c r="A956" s="9"/>
      <c r="B956" s="10"/>
      <c r="C956" s="11"/>
      <c r="D956" s="11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9.5" customHeight="1">
      <c r="A957" s="9"/>
      <c r="B957" s="10"/>
      <c r="C957" s="11"/>
      <c r="D957" s="11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9.5" customHeight="1">
      <c r="A958" s="9"/>
      <c r="B958" s="10"/>
      <c r="C958" s="11"/>
      <c r="D958" s="11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9.5" customHeight="1">
      <c r="A959" s="9"/>
      <c r="B959" s="10"/>
      <c r="C959" s="11"/>
      <c r="D959" s="11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9.5" customHeight="1">
      <c r="A960" s="9"/>
      <c r="B960" s="10"/>
      <c r="C960" s="11"/>
      <c r="D960" s="11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9.5" customHeight="1">
      <c r="A961" s="9"/>
      <c r="B961" s="10"/>
      <c r="C961" s="11"/>
      <c r="D961" s="11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9.5" customHeight="1">
      <c r="A962" s="9"/>
      <c r="B962" s="10"/>
      <c r="C962" s="11"/>
      <c r="D962" s="11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9.5" customHeight="1">
      <c r="A963" s="9"/>
      <c r="B963" s="10"/>
      <c r="C963" s="11"/>
      <c r="D963" s="11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9.5" customHeight="1">
      <c r="A964" s="9"/>
      <c r="B964" s="10"/>
      <c r="C964" s="11"/>
      <c r="D964" s="11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9.5" customHeight="1">
      <c r="A965" s="9"/>
      <c r="B965" s="10"/>
      <c r="C965" s="11"/>
      <c r="D965" s="11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9.5" customHeight="1">
      <c r="A966" s="9"/>
      <c r="B966" s="10"/>
      <c r="C966" s="11"/>
      <c r="D966" s="11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9.5" customHeight="1">
      <c r="A967" s="9"/>
      <c r="B967" s="10"/>
      <c r="C967" s="11"/>
      <c r="D967" s="11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9.5" customHeight="1">
      <c r="A968" s="9"/>
      <c r="B968" s="10"/>
      <c r="C968" s="11"/>
      <c r="D968" s="11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9.5" customHeight="1">
      <c r="A969" s="9"/>
      <c r="B969" s="10"/>
      <c r="C969" s="11"/>
      <c r="D969" s="11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9.5" customHeight="1">
      <c r="A970" s="9"/>
      <c r="B970" s="10"/>
      <c r="C970" s="11"/>
      <c r="D970" s="11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9.5" customHeight="1">
      <c r="A971" s="9"/>
      <c r="B971" s="10"/>
      <c r="C971" s="11"/>
      <c r="D971" s="11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9.5" customHeight="1">
      <c r="A972" s="9"/>
      <c r="B972" s="10"/>
      <c r="C972" s="11"/>
      <c r="D972" s="11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9.5" customHeight="1">
      <c r="A973" s="9"/>
      <c r="B973" s="10"/>
      <c r="C973" s="11"/>
      <c r="D973" s="11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9.5" customHeight="1">
      <c r="A974" s="9"/>
      <c r="B974" s="10"/>
      <c r="C974" s="11"/>
      <c r="D974" s="11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9.5" customHeight="1">
      <c r="A975" s="9"/>
      <c r="B975" s="10"/>
      <c r="C975" s="11"/>
      <c r="D975" s="11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9.5" customHeight="1">
      <c r="A976" s="9"/>
      <c r="B976" s="10"/>
      <c r="C976" s="11"/>
      <c r="D976" s="11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9.5" customHeight="1">
      <c r="A977" s="9"/>
      <c r="B977" s="10"/>
      <c r="C977" s="11"/>
      <c r="D977" s="11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9.5" customHeight="1">
      <c r="A978" s="9"/>
      <c r="B978" s="10"/>
      <c r="C978" s="11"/>
      <c r="D978" s="11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9.5" customHeight="1">
      <c r="A979" s="9"/>
      <c r="B979" s="10"/>
      <c r="C979" s="11"/>
      <c r="D979" s="11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9.5" customHeight="1">
      <c r="A980" s="9"/>
      <c r="B980" s="10"/>
      <c r="C980" s="11"/>
      <c r="D980" s="11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9.5" customHeight="1">
      <c r="A981" s="9"/>
      <c r="B981" s="10"/>
      <c r="C981" s="11"/>
      <c r="D981" s="11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9.5" customHeight="1">
      <c r="A982" s="9"/>
      <c r="B982" s="10"/>
      <c r="C982" s="11"/>
      <c r="D982" s="11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9.5" customHeight="1">
      <c r="A983" s="9"/>
      <c r="B983" s="10"/>
      <c r="C983" s="11"/>
      <c r="D983" s="11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9.5" customHeight="1">
      <c r="A984" s="9"/>
      <c r="B984" s="10"/>
      <c r="C984" s="11"/>
      <c r="D984" s="11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9.5" customHeight="1">
      <c r="A985" s="9"/>
      <c r="B985" s="10"/>
      <c r="C985" s="11"/>
      <c r="D985" s="11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9.5" customHeight="1">
      <c r="A986" s="9"/>
      <c r="B986" s="10"/>
      <c r="C986" s="11"/>
      <c r="D986" s="11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9.5" customHeight="1">
      <c r="A987" s="9"/>
      <c r="B987" s="10"/>
      <c r="C987" s="11"/>
      <c r="D987" s="11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9.5" customHeight="1">
      <c r="A988" s="9"/>
      <c r="B988" s="10"/>
      <c r="C988" s="11"/>
      <c r="D988" s="11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9.5" customHeight="1">
      <c r="A989" s="9"/>
      <c r="B989" s="10"/>
      <c r="C989" s="11"/>
      <c r="D989" s="11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9.5" customHeight="1">
      <c r="A990" s="9"/>
      <c r="B990" s="10"/>
      <c r="C990" s="11"/>
      <c r="D990" s="11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9.5" customHeight="1">
      <c r="A991" s="9"/>
      <c r="B991" s="10"/>
      <c r="C991" s="11"/>
      <c r="D991" s="11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9.5" customHeight="1">
      <c r="A992" s="9"/>
      <c r="B992" s="10"/>
      <c r="C992" s="11"/>
      <c r="D992" s="11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9.5" customHeight="1">
      <c r="A993" s="9"/>
      <c r="B993" s="10"/>
      <c r="C993" s="11"/>
      <c r="D993" s="11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9.5" customHeight="1">
      <c r="A994" s="9"/>
      <c r="B994" s="10"/>
      <c r="C994" s="11"/>
      <c r="D994" s="11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9.5" customHeight="1">
      <c r="A995" s="9"/>
      <c r="B995" s="10"/>
      <c r="C995" s="11"/>
      <c r="D995" s="11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9.5" customHeight="1">
      <c r="A996" s="9"/>
      <c r="B996" s="10"/>
      <c r="C996" s="11"/>
      <c r="D996" s="11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9.5" customHeight="1">
      <c r="A997" s="9"/>
      <c r="B997" s="10"/>
      <c r="C997" s="11"/>
      <c r="D997" s="11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9.5" customHeight="1">
      <c r="A998" s="9"/>
      <c r="B998" s="10"/>
      <c r="C998" s="11"/>
      <c r="D998" s="11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9.5" customHeight="1">
      <c r="A999" s="9"/>
      <c r="B999" s="10"/>
      <c r="C999" s="11"/>
      <c r="D999" s="11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9.5" customHeight="1">
      <c r="A1000" s="9"/>
      <c r="B1000" s="10"/>
      <c r="C1000" s="11"/>
      <c r="D1000" s="11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2023-03-10T07:30:53Z</dcterms:created>
  <dc:creator>Ying Rui Chen</dc:creator>
</cp:coreProperties>
</file>