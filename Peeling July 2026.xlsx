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Week" sheetId="1" r:id="rId4"/>
    <sheet state="visible" name="2nd Week" sheetId="2" r:id="rId5"/>
    <sheet state="visible" name="3rd Week" sheetId="3" r:id="rId6"/>
    <sheet state="visible" name="4th Week" sheetId="4" r:id="rId7"/>
  </sheets>
  <definedNames/>
  <calcPr/>
  <extLst>
    <ext uri="GoogleSheetsCustomDataVersion2">
      <go:sheetsCustomData xmlns:go="http://customooxmlschemas.google.com/" r:id="rId8" roundtripDataChecksum="6GL3+dLrMNuF0eZLCmFF9ireCPrwGvskbQ0j1+PdugU="/>
    </ext>
  </extLst>
</workbook>
</file>

<file path=xl/sharedStrings.xml><?xml version="1.0" encoding="utf-8"?>
<sst xmlns="http://schemas.openxmlformats.org/spreadsheetml/2006/main" count="740" uniqueCount="34">
  <si>
    <t>Date</t>
  </si>
  <si>
    <t>Names</t>
  </si>
  <si>
    <t>Amount Taken</t>
  </si>
  <si>
    <t>Alone plus Awar Lone Amount Gotten</t>
  </si>
  <si>
    <t>Grade 1 ( Aphyu Lone) Gotten</t>
  </si>
  <si>
    <t>Rotten</t>
  </si>
  <si>
    <t>Total Amount Gotten</t>
  </si>
  <si>
    <t>Percent %</t>
  </si>
  <si>
    <t>Price Rates</t>
  </si>
  <si>
    <t>Change From Previous Day</t>
  </si>
  <si>
    <t>Payroll Amount</t>
  </si>
  <si>
    <t>Amount Paid</t>
  </si>
  <si>
    <t>Change for Next Day</t>
  </si>
  <si>
    <t>Khin Thet Cho</t>
  </si>
  <si>
    <t>Nu Nu Win</t>
  </si>
  <si>
    <t>Mi Tayy</t>
  </si>
  <si>
    <t>Kaung Khant</t>
  </si>
  <si>
    <t>Than Cho</t>
  </si>
  <si>
    <t>Thel Thel</t>
  </si>
  <si>
    <t>War War Tun</t>
  </si>
  <si>
    <t>Ma Ni Sander</t>
  </si>
  <si>
    <t>Khin May Sann</t>
  </si>
  <si>
    <t>Naing Naing Win</t>
  </si>
  <si>
    <t>Khin Win</t>
  </si>
  <si>
    <t>Temporary</t>
  </si>
  <si>
    <t>Total</t>
  </si>
  <si>
    <t xml:space="preserve">Total Paid </t>
  </si>
  <si>
    <t>Total of First week</t>
  </si>
  <si>
    <t>Total Grade1 of the week</t>
  </si>
  <si>
    <t>alone</t>
  </si>
  <si>
    <t>Total of the week</t>
  </si>
  <si>
    <t>Total For the week</t>
  </si>
  <si>
    <t>Total for the month</t>
  </si>
  <si>
    <t>Total Grade 1 for the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</si>
</sst>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rgb="FF833C0B"/>
      <name val="Calibri"/>
    </font>
    <font>
      <sz val="11.0"/>
      <color rgb="FFF2F2F2"/>
      <name val="Calibri"/>
    </font>
    <font>
      <sz val="11.0"/>
      <color rgb="FFFBE4D5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8496B0"/>
        <bgColor rgb="FF8496B0"/>
      </patternFill>
    </fill>
    <fill>
      <patternFill patternType="solid">
        <fgColor rgb="FFFFC000"/>
        <bgColor rgb="FFFFC000"/>
      </patternFill>
    </fill>
    <fill>
      <patternFill patternType="solid">
        <fgColor rgb="FF1F3864"/>
        <bgColor rgb="FF1F3864"/>
      </patternFill>
    </fill>
    <fill>
      <patternFill patternType="solid">
        <fgColor rgb="FFC55A11"/>
        <bgColor rgb="FFC55A11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14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2" numFmtId="0" xfId="0" applyFont="1"/>
    <xf borderId="4" fillId="2" fontId="3" numFmtId="0" xfId="0" applyAlignment="1" applyBorder="1" applyFill="1" applyFont="1">
      <alignment vertical="center"/>
    </xf>
    <xf borderId="5" fillId="2" fontId="4" numFmtId="0" xfId="0" applyAlignment="1" applyBorder="1" applyFont="1">
      <alignment shrinkToFit="0" vertical="center" wrapText="1"/>
    </xf>
    <xf borderId="6" fillId="2" fontId="5" numFmtId="0" xfId="0" applyAlignment="1" applyBorder="1" applyFont="1">
      <alignment shrinkToFit="0" vertical="center" wrapText="1"/>
    </xf>
    <xf borderId="7" fillId="0" fontId="2" numFmtId="2" xfId="0" applyAlignment="1" applyBorder="1" applyFont="1" applyNumberFormat="1">
      <alignment horizontal="center" vertical="center"/>
    </xf>
    <xf borderId="7" fillId="0" fontId="2" numFmtId="0" xfId="0" applyBorder="1" applyFont="1"/>
    <xf borderId="7" fillId="0" fontId="2" numFmtId="2" xfId="0" applyAlignment="1" applyBorder="1" applyFont="1" applyNumberFormat="1">
      <alignment readingOrder="0"/>
    </xf>
    <xf borderId="7" fillId="0" fontId="2" numFmtId="2" xfId="0" applyBorder="1" applyFont="1" applyNumberFormat="1"/>
    <xf borderId="7" fillId="0" fontId="2" numFmtId="10" xfId="0" applyBorder="1" applyFont="1" applyNumberFormat="1"/>
    <xf borderId="7" fillId="0" fontId="2" numFmtId="164" xfId="0" applyBorder="1" applyFont="1" applyNumberFormat="1"/>
    <xf borderId="0" fillId="0" fontId="6" numFmtId="0" xfId="0" applyAlignment="1" applyFont="1">
      <alignment readingOrder="0"/>
    </xf>
    <xf borderId="8" fillId="3" fontId="2" numFmtId="0" xfId="0" applyAlignment="1" applyBorder="1" applyFill="1" applyFont="1">
      <alignment readingOrder="0"/>
    </xf>
    <xf borderId="9" fillId="0" fontId="2" numFmtId="2" xfId="0" applyAlignment="1" applyBorder="1" applyFont="1" applyNumberFormat="1">
      <alignment horizontal="center" vertical="center"/>
    </xf>
    <xf borderId="9" fillId="0" fontId="2" numFmtId="0" xfId="0" applyBorder="1" applyFont="1"/>
    <xf borderId="9" fillId="0" fontId="2" numFmtId="2" xfId="0" applyAlignment="1" applyBorder="1" applyFont="1" applyNumberFormat="1">
      <alignment readingOrder="0"/>
    </xf>
    <xf borderId="9" fillId="0" fontId="2" numFmtId="2" xfId="0" applyBorder="1" applyFont="1" applyNumberFormat="1"/>
    <xf borderId="9" fillId="0" fontId="2" numFmtId="0" xfId="0" applyAlignment="1" applyBorder="1" applyFont="1">
      <alignment readingOrder="0"/>
    </xf>
    <xf borderId="10" fillId="3" fontId="2" numFmtId="0" xfId="0" applyBorder="1" applyFont="1"/>
    <xf borderId="10" fillId="3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1" fillId="0" fontId="2" numFmtId="0" xfId="0" applyBorder="1" applyFont="1"/>
    <xf borderId="11" fillId="0" fontId="2" numFmtId="2" xfId="0" applyAlignment="1" applyBorder="1" applyFont="1" applyNumberFormat="1">
      <alignment horizontal="center" vertical="center"/>
    </xf>
    <xf borderId="12" fillId="0" fontId="2" numFmtId="0" xfId="0" applyBorder="1" applyFont="1"/>
    <xf borderId="11" fillId="0" fontId="2" numFmtId="2" xfId="0" applyBorder="1" applyFont="1" applyNumberFormat="1"/>
    <xf borderId="13" fillId="3" fontId="2" numFmtId="0" xfId="0" applyBorder="1" applyFont="1"/>
    <xf borderId="13" fillId="4" fontId="2" numFmtId="0" xfId="0" applyBorder="1" applyFill="1" applyFont="1"/>
    <xf borderId="7" fillId="0" fontId="2" numFmtId="0" xfId="0" applyAlignment="1" applyBorder="1" applyFont="1">
      <alignment readingOrder="0"/>
    </xf>
    <xf borderId="8" fillId="3" fontId="2" numFmtId="0" xfId="0" applyBorder="1" applyFont="1"/>
    <xf borderId="14" fillId="5" fontId="7" numFmtId="0" xfId="0" applyAlignment="1" applyBorder="1" applyFill="1" applyFont="1">
      <alignment shrinkToFit="0" wrapText="1"/>
    </xf>
    <xf borderId="0" fillId="0" fontId="2" numFmtId="2" xfId="0" applyFont="1" applyNumberFormat="1"/>
    <xf borderId="15" fillId="0" fontId="2" numFmtId="0" xfId="0" applyAlignment="1" applyBorder="1" applyFont="1">
      <alignment readingOrder="0"/>
    </xf>
    <xf borderId="16" fillId="0" fontId="2" numFmtId="0" xfId="0" applyBorder="1" applyFont="1"/>
    <xf borderId="17" fillId="0" fontId="2" numFmtId="0" xfId="0" applyAlignment="1" applyBorder="1" applyFont="1">
      <alignment readingOrder="0"/>
    </xf>
    <xf borderId="18" fillId="0" fontId="2" numFmtId="0" xfId="0" applyBorder="1" applyFont="1"/>
    <xf borderId="17" fillId="0" fontId="2" numFmtId="0" xfId="0" applyBorder="1" applyFont="1"/>
    <xf borderId="12" fillId="0" fontId="2" numFmtId="10" xfId="0" applyBorder="1" applyFont="1" applyNumberFormat="1"/>
    <xf borderId="2" fillId="0" fontId="2" numFmtId="14" xfId="0" applyBorder="1" applyFont="1" applyNumberFormat="1"/>
    <xf borderId="15" fillId="0" fontId="2" numFmtId="0" xfId="0" applyBorder="1" applyFont="1"/>
    <xf borderId="14" fillId="5" fontId="2" numFmtId="0" xfId="0" applyAlignment="1" applyBorder="1" applyFont="1">
      <alignment shrinkToFit="0" wrapText="1"/>
    </xf>
    <xf borderId="14" fillId="6" fontId="8" numFmtId="0" xfId="0" applyAlignment="1" applyBorder="1" applyFill="1" applyFont="1">
      <alignment shrinkToFit="0" wrapText="1"/>
    </xf>
    <xf borderId="14" fillId="7" fontId="9" numFmtId="0" xfId="0" applyAlignment="1" applyBorder="1" applyFill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86"/>
    <col customWidth="1" min="3" max="3" width="13.43"/>
    <col customWidth="1" min="4" max="5" width="13.14"/>
    <col customWidth="1" min="6" max="6" width="13.0"/>
    <col customWidth="1" min="7" max="7" width="14.14"/>
    <col customWidth="1" min="8" max="8" width="15.43"/>
    <col customWidth="1" min="9" max="9" width="17.71"/>
    <col customWidth="1" min="10" max="10" width="13.0"/>
    <col customWidth="1" min="11" max="11" width="12.0"/>
    <col customWidth="1" min="12" max="12" width="11.86"/>
    <col customWidth="1" min="13" max="13" width="12.14"/>
    <col customWidth="1" min="14" max="26" width="9.14"/>
  </cols>
  <sheetData>
    <row r="1" ht="20.25" customHeight="1">
      <c r="A1" s="1" t="s">
        <v>0</v>
      </c>
      <c r="B1" s="2">
        <v>46204.0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0.75" customHeight="1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8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9"/>
      <c r="B3" s="10" t="s">
        <v>13</v>
      </c>
      <c r="C3" s="11">
        <v>8.5</v>
      </c>
      <c r="D3" s="11">
        <v>6.35</v>
      </c>
      <c r="E3" s="11">
        <v>5.56</v>
      </c>
      <c r="F3" s="11">
        <v>0.3</v>
      </c>
      <c r="G3" s="12">
        <f t="shared" ref="G3:G19" si="1">C3-F3</f>
        <v>8.2</v>
      </c>
      <c r="H3" s="13">
        <f t="shared" ref="H3:H19" si="2">D3/G3</f>
        <v>0.7743902439</v>
      </c>
      <c r="I3" s="14"/>
      <c r="J3" s="15">
        <v>147.5</v>
      </c>
      <c r="K3" s="10">
        <f t="shared" ref="K3:K19" si="3">(G3*I3)+J3</f>
        <v>147.5</v>
      </c>
      <c r="L3" s="16">
        <v>-520.0</v>
      </c>
      <c r="M3" s="10">
        <f t="shared" ref="M3:M19" si="4">K3-L3</f>
        <v>667.5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7">
        <v>1.07</v>
      </c>
      <c r="B4" s="18" t="s">
        <v>14</v>
      </c>
      <c r="C4" s="19">
        <v>11.1</v>
      </c>
      <c r="D4" s="19">
        <v>8.7</v>
      </c>
      <c r="E4" s="19">
        <v>7.95</v>
      </c>
      <c r="F4" s="19">
        <v>0.36</v>
      </c>
      <c r="G4" s="20">
        <f t="shared" si="1"/>
        <v>10.74</v>
      </c>
      <c r="H4" s="13">
        <f t="shared" si="2"/>
        <v>0.8100558659</v>
      </c>
      <c r="I4" s="21">
        <v>3000.0</v>
      </c>
      <c r="J4" s="15">
        <v>49134.0</v>
      </c>
      <c r="K4" s="18">
        <f t="shared" si="3"/>
        <v>81354</v>
      </c>
      <c r="L4" s="22"/>
      <c r="M4" s="18">
        <f t="shared" si="4"/>
        <v>81354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7">
        <v>0.96</v>
      </c>
      <c r="B5" s="18" t="s">
        <v>15</v>
      </c>
      <c r="C5" s="19">
        <v>7.4</v>
      </c>
      <c r="D5" s="19">
        <v>5.95</v>
      </c>
      <c r="E5" s="19">
        <v>5.35</v>
      </c>
      <c r="F5" s="19">
        <v>0.15</v>
      </c>
      <c r="G5" s="20">
        <f t="shared" si="1"/>
        <v>7.25</v>
      </c>
      <c r="H5" s="13">
        <f t="shared" si="2"/>
        <v>0.8206896552</v>
      </c>
      <c r="I5" s="21">
        <v>3000.0</v>
      </c>
      <c r="J5" s="15">
        <v>35953.0</v>
      </c>
      <c r="K5" s="18">
        <f t="shared" si="3"/>
        <v>57703</v>
      </c>
      <c r="L5" s="22"/>
      <c r="M5" s="18">
        <f t="shared" si="4"/>
        <v>57703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7">
        <v>0.865</v>
      </c>
      <c r="B6" s="18" t="s">
        <v>16</v>
      </c>
      <c r="C6" s="11">
        <v>8.05</v>
      </c>
      <c r="D6" s="11">
        <v>6.35</v>
      </c>
      <c r="E6" s="11">
        <v>5.56</v>
      </c>
      <c r="F6" s="11">
        <v>0.3</v>
      </c>
      <c r="G6" s="20">
        <f t="shared" si="1"/>
        <v>7.75</v>
      </c>
      <c r="H6" s="13">
        <f t="shared" si="2"/>
        <v>0.8193548387</v>
      </c>
      <c r="I6" s="21">
        <v>3000.0</v>
      </c>
      <c r="J6" s="15">
        <v>470.0</v>
      </c>
      <c r="K6" s="18">
        <f t="shared" si="3"/>
        <v>23720</v>
      </c>
      <c r="L6" s="23">
        <v>23000.0</v>
      </c>
      <c r="M6" s="18">
        <f t="shared" si="4"/>
        <v>720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7">
        <v>0.885</v>
      </c>
      <c r="B7" s="18" t="s">
        <v>17</v>
      </c>
      <c r="C7" s="20"/>
      <c r="D7" s="20"/>
      <c r="E7" s="20"/>
      <c r="F7" s="20"/>
      <c r="G7" s="20">
        <f t="shared" si="1"/>
        <v>0</v>
      </c>
      <c r="H7" s="13" t="str">
        <f t="shared" si="2"/>
        <v>#DIV/0!</v>
      </c>
      <c r="I7" s="18"/>
      <c r="J7" s="15">
        <v>81.0</v>
      </c>
      <c r="K7" s="18">
        <f t="shared" si="3"/>
        <v>81</v>
      </c>
      <c r="L7" s="22"/>
      <c r="M7" s="18">
        <f t="shared" si="4"/>
        <v>81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7"/>
      <c r="B8" s="18" t="s">
        <v>18</v>
      </c>
      <c r="C8" s="19">
        <v>14.5</v>
      </c>
      <c r="D8" s="19">
        <v>10.78</v>
      </c>
      <c r="E8" s="19">
        <v>9.68</v>
      </c>
      <c r="F8" s="19">
        <v>0.44</v>
      </c>
      <c r="G8" s="20">
        <f t="shared" si="1"/>
        <v>14.06</v>
      </c>
      <c r="H8" s="13">
        <f t="shared" si="2"/>
        <v>0.7667140825</v>
      </c>
      <c r="I8" s="21">
        <v>3000.0</v>
      </c>
      <c r="J8" s="15">
        <v>38.0</v>
      </c>
      <c r="K8" s="18">
        <f t="shared" si="3"/>
        <v>42218</v>
      </c>
      <c r="L8" s="23">
        <v>42000.0</v>
      </c>
      <c r="M8" s="18">
        <f t="shared" si="4"/>
        <v>218</v>
      </c>
      <c r="N8" s="24">
        <v>15.0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7">
        <v>0.85</v>
      </c>
      <c r="B9" s="18" t="s">
        <v>19</v>
      </c>
      <c r="C9" s="20"/>
      <c r="D9" s="20"/>
      <c r="E9" s="20"/>
      <c r="F9" s="20"/>
      <c r="G9" s="20">
        <f t="shared" si="1"/>
        <v>0</v>
      </c>
      <c r="H9" s="13" t="str">
        <f t="shared" si="2"/>
        <v>#DIV/0!</v>
      </c>
      <c r="I9" s="18"/>
      <c r="J9" s="15">
        <v>360.0</v>
      </c>
      <c r="K9" s="18">
        <f t="shared" si="3"/>
        <v>360</v>
      </c>
      <c r="L9" s="22"/>
      <c r="M9" s="18">
        <f t="shared" si="4"/>
        <v>360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7">
        <v>0.93</v>
      </c>
      <c r="B10" s="18" t="s">
        <v>20</v>
      </c>
      <c r="C10" s="20"/>
      <c r="D10" s="20"/>
      <c r="E10" s="20"/>
      <c r="F10" s="20"/>
      <c r="G10" s="20">
        <f t="shared" si="1"/>
        <v>0</v>
      </c>
      <c r="H10" s="13" t="str">
        <f t="shared" si="2"/>
        <v>#DIV/0!</v>
      </c>
      <c r="I10" s="18"/>
      <c r="J10" s="15">
        <v>-275.0</v>
      </c>
      <c r="K10" s="18">
        <f t="shared" si="3"/>
        <v>-275</v>
      </c>
      <c r="L10" s="22"/>
      <c r="M10" s="18">
        <f t="shared" si="4"/>
        <v>-275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7">
        <v>0.96</v>
      </c>
      <c r="B11" s="18" t="s">
        <v>21</v>
      </c>
      <c r="C11" s="19">
        <v>6.1</v>
      </c>
      <c r="D11" s="19">
        <v>4.85</v>
      </c>
      <c r="E11" s="19">
        <v>4.1</v>
      </c>
      <c r="F11" s="19">
        <v>0.1</v>
      </c>
      <c r="G11" s="20">
        <f t="shared" si="1"/>
        <v>6</v>
      </c>
      <c r="H11" s="13">
        <f t="shared" si="2"/>
        <v>0.8083333333</v>
      </c>
      <c r="I11" s="21">
        <v>3000.0</v>
      </c>
      <c r="J11" s="15">
        <v>447.0</v>
      </c>
      <c r="K11" s="18">
        <f t="shared" si="3"/>
        <v>18447</v>
      </c>
      <c r="L11" s="23">
        <v>18000.0</v>
      </c>
      <c r="M11" s="18">
        <f t="shared" si="4"/>
        <v>447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7">
        <v>0.815</v>
      </c>
      <c r="B12" s="18" t="s">
        <v>22</v>
      </c>
      <c r="C12" s="20"/>
      <c r="D12" s="20"/>
      <c r="E12" s="20"/>
      <c r="F12" s="20"/>
      <c r="G12" s="20">
        <f t="shared" si="1"/>
        <v>0</v>
      </c>
      <c r="H12" s="13" t="str">
        <f t="shared" si="2"/>
        <v>#DIV/0!</v>
      </c>
      <c r="I12" s="18"/>
      <c r="J12" s="15">
        <v>649.0</v>
      </c>
      <c r="K12" s="18">
        <f t="shared" si="3"/>
        <v>649</v>
      </c>
      <c r="L12" s="22"/>
      <c r="M12" s="18">
        <f t="shared" si="4"/>
        <v>649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7"/>
      <c r="B13" s="18"/>
      <c r="C13" s="20"/>
      <c r="D13" s="20"/>
      <c r="E13" s="20"/>
      <c r="F13" s="20"/>
      <c r="G13" s="20">
        <f t="shared" si="1"/>
        <v>0</v>
      </c>
      <c r="H13" s="13" t="str">
        <f t="shared" si="2"/>
        <v>#DIV/0!</v>
      </c>
      <c r="I13" s="18"/>
      <c r="J13" s="15">
        <v>0.0</v>
      </c>
      <c r="K13" s="18">
        <f t="shared" si="3"/>
        <v>0</v>
      </c>
      <c r="L13" s="22"/>
      <c r="M13" s="18">
        <f t="shared" si="4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7"/>
      <c r="B14" s="18"/>
      <c r="C14" s="20"/>
      <c r="D14" s="20"/>
      <c r="E14" s="20"/>
      <c r="F14" s="20"/>
      <c r="G14" s="20">
        <f t="shared" si="1"/>
        <v>0</v>
      </c>
      <c r="H14" s="13" t="str">
        <f t="shared" si="2"/>
        <v>#DIV/0!</v>
      </c>
      <c r="I14" s="18"/>
      <c r="J14" s="15">
        <v>0.0</v>
      </c>
      <c r="K14" s="18">
        <f t="shared" si="3"/>
        <v>0</v>
      </c>
      <c r="L14" s="22"/>
      <c r="M14" s="18">
        <f t="shared" si="4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7"/>
      <c r="B15" s="18"/>
      <c r="C15" s="20"/>
      <c r="D15" s="20"/>
      <c r="E15" s="20"/>
      <c r="F15" s="20"/>
      <c r="G15" s="20">
        <f t="shared" si="1"/>
        <v>0</v>
      </c>
      <c r="H15" s="13" t="str">
        <f t="shared" si="2"/>
        <v>#DIV/0!</v>
      </c>
      <c r="I15" s="18"/>
      <c r="J15" s="15">
        <v>0.0</v>
      </c>
      <c r="K15" s="18">
        <f t="shared" si="3"/>
        <v>0</v>
      </c>
      <c r="L15" s="22"/>
      <c r="M15" s="18">
        <f t="shared" si="4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7"/>
      <c r="B16" s="18"/>
      <c r="C16" s="20"/>
      <c r="D16" s="20"/>
      <c r="E16" s="20"/>
      <c r="F16" s="20"/>
      <c r="G16" s="20">
        <f t="shared" si="1"/>
        <v>0</v>
      </c>
      <c r="H16" s="13" t="str">
        <f t="shared" si="2"/>
        <v>#DIV/0!</v>
      </c>
      <c r="I16" s="18"/>
      <c r="J16" s="15">
        <v>0.0</v>
      </c>
      <c r="K16" s="18">
        <f t="shared" si="3"/>
        <v>0</v>
      </c>
      <c r="L16" s="22"/>
      <c r="M16" s="18">
        <f t="shared" si="4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7"/>
      <c r="B17" s="25"/>
      <c r="C17" s="20"/>
      <c r="D17" s="20"/>
      <c r="E17" s="20"/>
      <c r="F17" s="20"/>
      <c r="G17" s="20">
        <f t="shared" si="1"/>
        <v>0</v>
      </c>
      <c r="H17" s="13" t="str">
        <f t="shared" si="2"/>
        <v>#DIV/0!</v>
      </c>
      <c r="I17" s="18"/>
      <c r="J17" s="15">
        <v>0.0</v>
      </c>
      <c r="K17" s="18">
        <f t="shared" si="3"/>
        <v>0</v>
      </c>
      <c r="L17" s="22"/>
      <c r="M17" s="18">
        <f t="shared" si="4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7"/>
      <c r="B18" s="25" t="s">
        <v>23</v>
      </c>
      <c r="C18" s="20"/>
      <c r="D18" s="20"/>
      <c r="E18" s="20"/>
      <c r="F18" s="20"/>
      <c r="G18" s="20">
        <f t="shared" si="1"/>
        <v>0</v>
      </c>
      <c r="H18" s="13" t="str">
        <f t="shared" si="2"/>
        <v>#DIV/0!</v>
      </c>
      <c r="I18" s="18"/>
      <c r="J18" s="15">
        <v>140350.0</v>
      </c>
      <c r="K18" s="18">
        <f t="shared" si="3"/>
        <v>140350</v>
      </c>
      <c r="L18" s="22"/>
      <c r="M18" s="18">
        <f t="shared" si="4"/>
        <v>140350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6" t="s">
        <v>24</v>
      </c>
      <c r="B19" s="27"/>
      <c r="C19" s="28"/>
      <c r="D19" s="28"/>
      <c r="E19" s="28"/>
      <c r="F19" s="28"/>
      <c r="G19" s="28">
        <f t="shared" si="1"/>
        <v>0</v>
      </c>
      <c r="H19" s="13" t="str">
        <f t="shared" si="2"/>
        <v>#DIV/0!</v>
      </c>
      <c r="I19" s="18"/>
      <c r="J19" s="15">
        <v>0.0</v>
      </c>
      <c r="K19" s="18">
        <f t="shared" si="3"/>
        <v>0</v>
      </c>
      <c r="L19" s="29"/>
      <c r="M19" s="25">
        <f t="shared" si="4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5"/>
      <c r="B20" s="25"/>
      <c r="C20" s="25"/>
      <c r="D20" s="25" t="s">
        <v>25</v>
      </c>
      <c r="E20" s="28">
        <f>SUM(E3:E19)</f>
        <v>38.2</v>
      </c>
      <c r="F20" s="25"/>
      <c r="G20" s="25"/>
      <c r="H20" s="25"/>
      <c r="I20" s="25"/>
      <c r="J20" s="25"/>
      <c r="K20" s="30" t="s">
        <v>26</v>
      </c>
      <c r="L20" s="30">
        <f>SUM(L3:L19)</f>
        <v>82480</v>
      </c>
      <c r="M20" s="2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" t="s">
        <v>0</v>
      </c>
      <c r="B21" s="2">
        <v>46205.0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"/>
      <c r="B22" s="7" t="s">
        <v>1</v>
      </c>
      <c r="C22" s="7" t="s">
        <v>2</v>
      </c>
      <c r="D22" s="7" t="s">
        <v>3</v>
      </c>
      <c r="E22" s="7" t="s">
        <v>4</v>
      </c>
      <c r="F22" s="7" t="s">
        <v>5</v>
      </c>
      <c r="G22" s="7" t="s">
        <v>6</v>
      </c>
      <c r="H22" s="7" t="s">
        <v>7</v>
      </c>
      <c r="I22" s="7" t="s">
        <v>8</v>
      </c>
      <c r="J22" s="7" t="s">
        <v>9</v>
      </c>
      <c r="K22" s="7" t="s">
        <v>10</v>
      </c>
      <c r="L22" s="7" t="s">
        <v>11</v>
      </c>
      <c r="M22" s="8" t="s">
        <v>12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9"/>
      <c r="B23" s="10" t="s">
        <v>13</v>
      </c>
      <c r="C23" s="11">
        <v>8.1</v>
      </c>
      <c r="D23" s="11">
        <v>6.25</v>
      </c>
      <c r="E23" s="11">
        <v>5.8</v>
      </c>
      <c r="F23" s="11">
        <v>0.15</v>
      </c>
      <c r="G23" s="12">
        <f t="shared" ref="G23:G39" si="5">C23-F23</f>
        <v>7.95</v>
      </c>
      <c r="H23" s="13">
        <f t="shared" ref="H23:H39" si="6">D23/G23</f>
        <v>0.786163522</v>
      </c>
      <c r="I23" s="31">
        <v>3000.0</v>
      </c>
      <c r="J23" s="10">
        <f t="shared" ref="J23:J39" si="7">M3</f>
        <v>667.5</v>
      </c>
      <c r="K23" s="10">
        <f t="shared" ref="K23:K39" si="8">(G23*I23)+J23</f>
        <v>24517.5</v>
      </c>
      <c r="L23" s="16">
        <v>24000.0</v>
      </c>
      <c r="M23" s="10">
        <f t="shared" ref="M23:M39" si="9">K23-L23</f>
        <v>517.5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7">
        <v>1.07</v>
      </c>
      <c r="B24" s="18" t="s">
        <v>14</v>
      </c>
      <c r="C24" s="19">
        <v>9.8</v>
      </c>
      <c r="D24" s="19">
        <v>7.65</v>
      </c>
      <c r="E24" s="19">
        <v>6.95</v>
      </c>
      <c r="F24" s="19">
        <v>0.2</v>
      </c>
      <c r="G24" s="20">
        <f t="shared" si="5"/>
        <v>9.6</v>
      </c>
      <c r="H24" s="13">
        <f t="shared" si="6"/>
        <v>0.796875</v>
      </c>
      <c r="I24" s="21">
        <v>3000.0</v>
      </c>
      <c r="J24" s="18">
        <f t="shared" si="7"/>
        <v>81354</v>
      </c>
      <c r="K24" s="18">
        <f t="shared" si="8"/>
        <v>110154</v>
      </c>
      <c r="L24" s="22"/>
      <c r="M24" s="18">
        <f t="shared" si="9"/>
        <v>110154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7">
        <v>0.96</v>
      </c>
      <c r="B25" s="18" t="s">
        <v>15</v>
      </c>
      <c r="C25" s="19">
        <v>7.55</v>
      </c>
      <c r="D25" s="19">
        <v>5.9</v>
      </c>
      <c r="E25" s="19">
        <v>5.5</v>
      </c>
      <c r="F25" s="19">
        <v>0.15</v>
      </c>
      <c r="G25" s="20">
        <f t="shared" si="5"/>
        <v>7.4</v>
      </c>
      <c r="H25" s="13">
        <f t="shared" si="6"/>
        <v>0.7972972973</v>
      </c>
      <c r="I25" s="21">
        <v>3000.0</v>
      </c>
      <c r="J25" s="18">
        <f t="shared" si="7"/>
        <v>57703</v>
      </c>
      <c r="K25" s="18">
        <f t="shared" si="8"/>
        <v>79903</v>
      </c>
      <c r="L25" s="22"/>
      <c r="M25" s="18">
        <f t="shared" si="9"/>
        <v>79903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7">
        <v>0.865</v>
      </c>
      <c r="B26" s="18" t="s">
        <v>16</v>
      </c>
      <c r="C26" s="20"/>
      <c r="D26" s="20"/>
      <c r="E26" s="20"/>
      <c r="F26" s="20"/>
      <c r="G26" s="20">
        <f t="shared" si="5"/>
        <v>0</v>
      </c>
      <c r="H26" s="13" t="str">
        <f t="shared" si="6"/>
        <v>#DIV/0!</v>
      </c>
      <c r="I26" s="18"/>
      <c r="J26" s="18">
        <f t="shared" si="7"/>
        <v>720</v>
      </c>
      <c r="K26" s="18">
        <f t="shared" si="8"/>
        <v>720</v>
      </c>
      <c r="L26" s="22"/>
      <c r="M26" s="18">
        <f t="shared" si="9"/>
        <v>720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7">
        <v>0.885</v>
      </c>
      <c r="B27" s="18" t="s">
        <v>17</v>
      </c>
      <c r="C27" s="20"/>
      <c r="D27" s="20"/>
      <c r="E27" s="20"/>
      <c r="F27" s="20"/>
      <c r="G27" s="20">
        <f t="shared" si="5"/>
        <v>0</v>
      </c>
      <c r="H27" s="13" t="str">
        <f t="shared" si="6"/>
        <v>#DIV/0!</v>
      </c>
      <c r="I27" s="18"/>
      <c r="J27" s="18">
        <f t="shared" si="7"/>
        <v>81</v>
      </c>
      <c r="K27" s="18">
        <f t="shared" si="8"/>
        <v>81</v>
      </c>
      <c r="L27" s="22"/>
      <c r="M27" s="18">
        <f t="shared" si="9"/>
        <v>81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7"/>
      <c r="B28" s="18" t="s">
        <v>18</v>
      </c>
      <c r="C28" s="20"/>
      <c r="D28" s="20"/>
      <c r="E28" s="20"/>
      <c r="F28" s="20"/>
      <c r="G28" s="20">
        <f t="shared" si="5"/>
        <v>0</v>
      </c>
      <c r="H28" s="13" t="str">
        <f t="shared" si="6"/>
        <v>#DIV/0!</v>
      </c>
      <c r="I28" s="18"/>
      <c r="J28" s="18">
        <f t="shared" si="7"/>
        <v>218</v>
      </c>
      <c r="K28" s="18">
        <f t="shared" si="8"/>
        <v>218</v>
      </c>
      <c r="L28" s="22"/>
      <c r="M28" s="18">
        <f t="shared" si="9"/>
        <v>218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7">
        <v>0.85</v>
      </c>
      <c r="B29" s="18" t="s">
        <v>19</v>
      </c>
      <c r="C29" s="20"/>
      <c r="D29" s="20"/>
      <c r="E29" s="20"/>
      <c r="F29" s="20"/>
      <c r="G29" s="20">
        <f t="shared" si="5"/>
        <v>0</v>
      </c>
      <c r="H29" s="13" t="str">
        <f t="shared" si="6"/>
        <v>#DIV/0!</v>
      </c>
      <c r="I29" s="18"/>
      <c r="J29" s="18">
        <f t="shared" si="7"/>
        <v>360</v>
      </c>
      <c r="K29" s="18">
        <f t="shared" si="8"/>
        <v>360</v>
      </c>
      <c r="L29" s="22"/>
      <c r="M29" s="18">
        <f t="shared" si="9"/>
        <v>360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7">
        <v>0.93</v>
      </c>
      <c r="B30" s="18" t="s">
        <v>20</v>
      </c>
      <c r="C30" s="20"/>
      <c r="D30" s="20"/>
      <c r="E30" s="20"/>
      <c r="F30" s="20"/>
      <c r="G30" s="20">
        <f t="shared" si="5"/>
        <v>0</v>
      </c>
      <c r="H30" s="13" t="str">
        <f t="shared" si="6"/>
        <v>#DIV/0!</v>
      </c>
      <c r="I30" s="18"/>
      <c r="J30" s="18">
        <f t="shared" si="7"/>
        <v>-275</v>
      </c>
      <c r="K30" s="18">
        <f t="shared" si="8"/>
        <v>-275</v>
      </c>
      <c r="L30" s="22"/>
      <c r="M30" s="18">
        <f t="shared" si="9"/>
        <v>-275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7">
        <v>0.96</v>
      </c>
      <c r="B31" s="18" t="s">
        <v>21</v>
      </c>
      <c r="C31" s="19">
        <v>6.5</v>
      </c>
      <c r="D31" s="19">
        <v>5.0</v>
      </c>
      <c r="E31" s="19">
        <v>4.3</v>
      </c>
      <c r="F31" s="19">
        <v>0.15</v>
      </c>
      <c r="G31" s="20">
        <f t="shared" si="5"/>
        <v>6.35</v>
      </c>
      <c r="H31" s="13">
        <f t="shared" si="6"/>
        <v>0.7874015748</v>
      </c>
      <c r="I31" s="21">
        <v>3000.0</v>
      </c>
      <c r="J31" s="18">
        <f t="shared" si="7"/>
        <v>447</v>
      </c>
      <c r="K31" s="18">
        <f t="shared" si="8"/>
        <v>19497</v>
      </c>
      <c r="L31" s="23">
        <v>19000.0</v>
      </c>
      <c r="M31" s="18">
        <f t="shared" si="9"/>
        <v>497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7">
        <v>0.815</v>
      </c>
      <c r="B32" s="18" t="s">
        <v>22</v>
      </c>
      <c r="C32" s="20"/>
      <c r="D32" s="20"/>
      <c r="E32" s="20"/>
      <c r="F32" s="20"/>
      <c r="G32" s="20">
        <f t="shared" si="5"/>
        <v>0</v>
      </c>
      <c r="H32" s="13" t="str">
        <f t="shared" si="6"/>
        <v>#DIV/0!</v>
      </c>
      <c r="I32" s="18"/>
      <c r="J32" s="18">
        <f t="shared" si="7"/>
        <v>649</v>
      </c>
      <c r="K32" s="18">
        <f t="shared" si="8"/>
        <v>649</v>
      </c>
      <c r="L32" s="22"/>
      <c r="M32" s="18">
        <f t="shared" si="9"/>
        <v>649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7"/>
      <c r="B33" s="18"/>
      <c r="C33" s="20"/>
      <c r="D33" s="20"/>
      <c r="E33" s="20"/>
      <c r="F33" s="20"/>
      <c r="G33" s="20">
        <f t="shared" si="5"/>
        <v>0</v>
      </c>
      <c r="H33" s="13" t="str">
        <f t="shared" si="6"/>
        <v>#DIV/0!</v>
      </c>
      <c r="I33" s="18"/>
      <c r="J33" s="18">
        <f t="shared" si="7"/>
        <v>0</v>
      </c>
      <c r="K33" s="18">
        <f t="shared" si="8"/>
        <v>0</v>
      </c>
      <c r="L33" s="22"/>
      <c r="M33" s="18">
        <f t="shared" si="9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7"/>
      <c r="B34" s="18"/>
      <c r="C34" s="20"/>
      <c r="D34" s="20"/>
      <c r="E34" s="20"/>
      <c r="F34" s="20"/>
      <c r="G34" s="20">
        <f t="shared" si="5"/>
        <v>0</v>
      </c>
      <c r="H34" s="13" t="str">
        <f t="shared" si="6"/>
        <v>#DIV/0!</v>
      </c>
      <c r="I34" s="18"/>
      <c r="J34" s="18">
        <f t="shared" si="7"/>
        <v>0</v>
      </c>
      <c r="K34" s="18">
        <f t="shared" si="8"/>
        <v>0</v>
      </c>
      <c r="L34" s="22"/>
      <c r="M34" s="18">
        <f t="shared" si="9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7"/>
      <c r="B35" s="18"/>
      <c r="C35" s="20"/>
      <c r="D35" s="20"/>
      <c r="E35" s="20"/>
      <c r="F35" s="20"/>
      <c r="G35" s="20">
        <f t="shared" si="5"/>
        <v>0</v>
      </c>
      <c r="H35" s="13" t="str">
        <f t="shared" si="6"/>
        <v>#DIV/0!</v>
      </c>
      <c r="I35" s="18"/>
      <c r="J35" s="18">
        <f t="shared" si="7"/>
        <v>0</v>
      </c>
      <c r="K35" s="18">
        <f t="shared" si="8"/>
        <v>0</v>
      </c>
      <c r="L35" s="22"/>
      <c r="M35" s="18">
        <f t="shared" si="9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7"/>
      <c r="B36" s="18"/>
      <c r="C36" s="20"/>
      <c r="D36" s="20"/>
      <c r="E36" s="20"/>
      <c r="F36" s="20"/>
      <c r="G36" s="20">
        <f t="shared" si="5"/>
        <v>0</v>
      </c>
      <c r="H36" s="13" t="str">
        <f t="shared" si="6"/>
        <v>#DIV/0!</v>
      </c>
      <c r="I36" s="18"/>
      <c r="J36" s="18">
        <f t="shared" si="7"/>
        <v>0</v>
      </c>
      <c r="K36" s="18">
        <f t="shared" si="8"/>
        <v>0</v>
      </c>
      <c r="L36" s="22"/>
      <c r="M36" s="18">
        <f t="shared" si="9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7"/>
      <c r="B37" s="25"/>
      <c r="C37" s="20"/>
      <c r="D37" s="20"/>
      <c r="E37" s="20"/>
      <c r="F37" s="20"/>
      <c r="G37" s="20">
        <f t="shared" si="5"/>
        <v>0</v>
      </c>
      <c r="H37" s="13" t="str">
        <f t="shared" si="6"/>
        <v>#DIV/0!</v>
      </c>
      <c r="I37" s="18"/>
      <c r="J37" s="18">
        <f t="shared" si="7"/>
        <v>0</v>
      </c>
      <c r="K37" s="18">
        <f t="shared" si="8"/>
        <v>0</v>
      </c>
      <c r="L37" s="22"/>
      <c r="M37" s="18">
        <f t="shared" si="9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7"/>
      <c r="B38" s="25" t="s">
        <v>23</v>
      </c>
      <c r="C38" s="20"/>
      <c r="D38" s="20"/>
      <c r="E38" s="20"/>
      <c r="F38" s="20"/>
      <c r="G38" s="20">
        <f t="shared" si="5"/>
        <v>0</v>
      </c>
      <c r="H38" s="13" t="str">
        <f t="shared" si="6"/>
        <v>#DIV/0!</v>
      </c>
      <c r="I38" s="18"/>
      <c r="J38" s="18">
        <f t="shared" si="7"/>
        <v>140350</v>
      </c>
      <c r="K38" s="18">
        <f t="shared" si="8"/>
        <v>140350</v>
      </c>
      <c r="L38" s="22"/>
      <c r="M38" s="18">
        <f t="shared" si="9"/>
        <v>140350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26" t="s">
        <v>24</v>
      </c>
      <c r="B39" s="27"/>
      <c r="C39" s="28"/>
      <c r="D39" s="28"/>
      <c r="E39" s="28"/>
      <c r="F39" s="28"/>
      <c r="G39" s="28">
        <f t="shared" si="5"/>
        <v>0</v>
      </c>
      <c r="H39" s="13" t="str">
        <f t="shared" si="6"/>
        <v>#DIV/0!</v>
      </c>
      <c r="I39" s="18"/>
      <c r="J39" s="18">
        <f t="shared" si="7"/>
        <v>0</v>
      </c>
      <c r="K39" s="18">
        <f t="shared" si="8"/>
        <v>0</v>
      </c>
      <c r="L39" s="29"/>
      <c r="M39" s="25">
        <f t="shared" si="9"/>
        <v>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25"/>
      <c r="B40" s="25"/>
      <c r="C40" s="25"/>
      <c r="D40" s="25" t="s">
        <v>25</v>
      </c>
      <c r="E40" s="28">
        <f>SUM(E23:E39)</f>
        <v>22.55</v>
      </c>
      <c r="F40" s="25"/>
      <c r="G40" s="25"/>
      <c r="H40" s="25"/>
      <c r="I40" s="25"/>
      <c r="J40" s="25"/>
      <c r="K40" s="30" t="s">
        <v>26</v>
      </c>
      <c r="L40" s="30">
        <f>SUM(L23:L39)</f>
        <v>43000</v>
      </c>
      <c r="M40" s="2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 t="s">
        <v>0</v>
      </c>
      <c r="B41" s="2">
        <v>46206.0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/>
      <c r="B42" s="7" t="s">
        <v>1</v>
      </c>
      <c r="C42" s="7" t="s">
        <v>2</v>
      </c>
      <c r="D42" s="7" t="s">
        <v>3</v>
      </c>
      <c r="E42" s="7" t="s">
        <v>4</v>
      </c>
      <c r="F42" s="7" t="s">
        <v>5</v>
      </c>
      <c r="G42" s="7" t="s">
        <v>6</v>
      </c>
      <c r="H42" s="7" t="s">
        <v>7</v>
      </c>
      <c r="I42" s="7" t="s">
        <v>8</v>
      </c>
      <c r="J42" s="7" t="s">
        <v>9</v>
      </c>
      <c r="K42" s="7" t="s">
        <v>10</v>
      </c>
      <c r="L42" s="7" t="s">
        <v>11</v>
      </c>
      <c r="M42" s="8" t="s">
        <v>12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9"/>
      <c r="B43" s="10" t="s">
        <v>13</v>
      </c>
      <c r="C43" s="11">
        <v>7.7</v>
      </c>
      <c r="D43" s="11">
        <v>6.1</v>
      </c>
      <c r="E43" s="11">
        <v>5.55</v>
      </c>
      <c r="F43" s="11">
        <v>0.2</v>
      </c>
      <c r="G43" s="12">
        <f t="shared" ref="G43:G59" si="10">C43-F43</f>
        <v>7.5</v>
      </c>
      <c r="H43" s="13">
        <f t="shared" ref="H43:H59" si="11">D43/G43</f>
        <v>0.8133333333</v>
      </c>
      <c r="I43" s="31">
        <v>3000.0</v>
      </c>
      <c r="J43" s="10">
        <f t="shared" ref="J43:J59" si="12">M23</f>
        <v>517.5</v>
      </c>
      <c r="K43" s="10">
        <f t="shared" ref="K43:K59" si="13">(G43*I43)+J43</f>
        <v>23017.5</v>
      </c>
      <c r="L43" s="16">
        <v>23000.0</v>
      </c>
      <c r="M43" s="10">
        <f t="shared" ref="M43:M59" si="14">K43-L43</f>
        <v>17.5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7">
        <v>1.07</v>
      </c>
      <c r="B44" s="18" t="s">
        <v>14</v>
      </c>
      <c r="C44" s="19">
        <v>8.4</v>
      </c>
      <c r="D44" s="19">
        <v>6.88</v>
      </c>
      <c r="E44" s="19">
        <v>6.4</v>
      </c>
      <c r="F44" s="19">
        <v>0.2</v>
      </c>
      <c r="G44" s="20">
        <f t="shared" si="10"/>
        <v>8.2</v>
      </c>
      <c r="H44" s="13">
        <f t="shared" si="11"/>
        <v>0.8390243902</v>
      </c>
      <c r="I44" s="21">
        <v>3000.0</v>
      </c>
      <c r="J44" s="10">
        <f t="shared" si="12"/>
        <v>110154</v>
      </c>
      <c r="K44" s="18">
        <f t="shared" si="13"/>
        <v>134754</v>
      </c>
      <c r="L44" s="22"/>
      <c r="M44" s="18">
        <f t="shared" si="14"/>
        <v>134754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7">
        <v>0.96</v>
      </c>
      <c r="B45" s="18" t="s">
        <v>15</v>
      </c>
      <c r="C45" s="19">
        <v>7.25</v>
      </c>
      <c r="D45" s="19">
        <v>5.85</v>
      </c>
      <c r="E45" s="19">
        <v>5.45</v>
      </c>
      <c r="F45" s="19">
        <v>0.2</v>
      </c>
      <c r="G45" s="20">
        <f t="shared" si="10"/>
        <v>7.05</v>
      </c>
      <c r="H45" s="13">
        <f t="shared" si="11"/>
        <v>0.829787234</v>
      </c>
      <c r="I45" s="21">
        <v>3000.0</v>
      </c>
      <c r="J45" s="10">
        <f t="shared" si="12"/>
        <v>79903</v>
      </c>
      <c r="K45" s="18">
        <f t="shared" si="13"/>
        <v>101053</v>
      </c>
      <c r="L45" s="22"/>
      <c r="M45" s="18">
        <f t="shared" si="14"/>
        <v>101053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7">
        <v>0.865</v>
      </c>
      <c r="B46" s="18" t="s">
        <v>16</v>
      </c>
      <c r="C46" s="20"/>
      <c r="D46" s="20"/>
      <c r="E46" s="20"/>
      <c r="F46" s="20"/>
      <c r="G46" s="20">
        <f t="shared" si="10"/>
        <v>0</v>
      </c>
      <c r="H46" s="13" t="str">
        <f t="shared" si="11"/>
        <v>#DIV/0!</v>
      </c>
      <c r="I46" s="18"/>
      <c r="J46" s="10">
        <f t="shared" si="12"/>
        <v>720</v>
      </c>
      <c r="K46" s="18">
        <f t="shared" si="13"/>
        <v>720</v>
      </c>
      <c r="L46" s="22"/>
      <c r="M46" s="18">
        <f t="shared" si="14"/>
        <v>720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7">
        <v>0.885</v>
      </c>
      <c r="B47" s="18" t="s">
        <v>17</v>
      </c>
      <c r="C47" s="20"/>
      <c r="D47" s="20"/>
      <c r="E47" s="20"/>
      <c r="F47" s="20"/>
      <c r="G47" s="20">
        <f t="shared" si="10"/>
        <v>0</v>
      </c>
      <c r="H47" s="13" t="str">
        <f t="shared" si="11"/>
        <v>#DIV/0!</v>
      </c>
      <c r="I47" s="18"/>
      <c r="J47" s="10">
        <f t="shared" si="12"/>
        <v>81</v>
      </c>
      <c r="K47" s="18">
        <f t="shared" si="13"/>
        <v>81</v>
      </c>
      <c r="L47" s="22"/>
      <c r="M47" s="18">
        <f t="shared" si="14"/>
        <v>81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7"/>
      <c r="B48" s="18" t="s">
        <v>18</v>
      </c>
      <c r="C48" s="19">
        <v>15.0</v>
      </c>
      <c r="D48" s="19">
        <v>11.34</v>
      </c>
      <c r="E48" s="19">
        <v>10.66</v>
      </c>
      <c r="F48" s="19">
        <v>0.26</v>
      </c>
      <c r="G48" s="20">
        <f t="shared" si="10"/>
        <v>14.74</v>
      </c>
      <c r="H48" s="13">
        <f t="shared" si="11"/>
        <v>0.7693351425</v>
      </c>
      <c r="I48" s="21">
        <v>3000.0</v>
      </c>
      <c r="J48" s="10">
        <f t="shared" si="12"/>
        <v>218</v>
      </c>
      <c r="K48" s="18">
        <f t="shared" si="13"/>
        <v>44438</v>
      </c>
      <c r="L48" s="23">
        <v>45000.0</v>
      </c>
      <c r="M48" s="18">
        <f t="shared" si="14"/>
        <v>-562</v>
      </c>
      <c r="N48" s="24">
        <v>16.0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7">
        <v>0.85</v>
      </c>
      <c r="B49" s="18" t="s">
        <v>19</v>
      </c>
      <c r="C49" s="20"/>
      <c r="D49" s="20"/>
      <c r="E49" s="20"/>
      <c r="F49" s="20"/>
      <c r="G49" s="20">
        <f t="shared" si="10"/>
        <v>0</v>
      </c>
      <c r="H49" s="13" t="str">
        <f t="shared" si="11"/>
        <v>#DIV/0!</v>
      </c>
      <c r="I49" s="18"/>
      <c r="J49" s="10">
        <f t="shared" si="12"/>
        <v>360</v>
      </c>
      <c r="K49" s="18">
        <f t="shared" si="13"/>
        <v>360</v>
      </c>
      <c r="L49" s="22"/>
      <c r="M49" s="18">
        <f t="shared" si="14"/>
        <v>360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7">
        <v>0.93</v>
      </c>
      <c r="B50" s="18" t="s">
        <v>20</v>
      </c>
      <c r="C50" s="20"/>
      <c r="D50" s="20"/>
      <c r="E50" s="20"/>
      <c r="F50" s="20"/>
      <c r="G50" s="20">
        <f t="shared" si="10"/>
        <v>0</v>
      </c>
      <c r="H50" s="13" t="str">
        <f t="shared" si="11"/>
        <v>#DIV/0!</v>
      </c>
      <c r="I50" s="18"/>
      <c r="J50" s="10">
        <f t="shared" si="12"/>
        <v>-275</v>
      </c>
      <c r="K50" s="18">
        <f t="shared" si="13"/>
        <v>-275</v>
      </c>
      <c r="L50" s="22"/>
      <c r="M50" s="18">
        <f t="shared" si="14"/>
        <v>-275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7">
        <v>0.96</v>
      </c>
      <c r="B51" s="18" t="s">
        <v>21</v>
      </c>
      <c r="C51" s="19">
        <v>5.6</v>
      </c>
      <c r="D51" s="19">
        <v>4.45</v>
      </c>
      <c r="E51" s="19">
        <v>4.1</v>
      </c>
      <c r="F51" s="19">
        <v>0.13</v>
      </c>
      <c r="G51" s="20">
        <f t="shared" si="10"/>
        <v>5.47</v>
      </c>
      <c r="H51" s="13">
        <f t="shared" si="11"/>
        <v>0.8135283364</v>
      </c>
      <c r="I51" s="21">
        <v>3000.0</v>
      </c>
      <c r="J51" s="10">
        <f t="shared" si="12"/>
        <v>497</v>
      </c>
      <c r="K51" s="18">
        <f t="shared" si="13"/>
        <v>16907</v>
      </c>
      <c r="L51" s="23">
        <v>17000.0</v>
      </c>
      <c r="M51" s="18">
        <f t="shared" si="14"/>
        <v>-93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7">
        <v>0.815</v>
      </c>
      <c r="B52" s="18" t="s">
        <v>22</v>
      </c>
      <c r="C52" s="20"/>
      <c r="D52" s="20"/>
      <c r="E52" s="20"/>
      <c r="F52" s="20"/>
      <c r="G52" s="20">
        <f t="shared" si="10"/>
        <v>0</v>
      </c>
      <c r="H52" s="13" t="str">
        <f t="shared" si="11"/>
        <v>#DIV/0!</v>
      </c>
      <c r="I52" s="18"/>
      <c r="J52" s="10">
        <f t="shared" si="12"/>
        <v>649</v>
      </c>
      <c r="K52" s="18">
        <f t="shared" si="13"/>
        <v>649</v>
      </c>
      <c r="L52" s="22"/>
      <c r="M52" s="18">
        <f t="shared" si="14"/>
        <v>649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7"/>
      <c r="B53" s="18"/>
      <c r="C53" s="20"/>
      <c r="D53" s="20"/>
      <c r="E53" s="20"/>
      <c r="F53" s="20"/>
      <c r="G53" s="20">
        <f t="shared" si="10"/>
        <v>0</v>
      </c>
      <c r="H53" s="13" t="str">
        <f t="shared" si="11"/>
        <v>#DIV/0!</v>
      </c>
      <c r="I53" s="18"/>
      <c r="J53" s="10">
        <f t="shared" si="12"/>
        <v>0</v>
      </c>
      <c r="K53" s="18">
        <f t="shared" si="13"/>
        <v>0</v>
      </c>
      <c r="L53" s="22"/>
      <c r="M53" s="18">
        <f t="shared" si="14"/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7"/>
      <c r="B54" s="18"/>
      <c r="C54" s="20"/>
      <c r="D54" s="20"/>
      <c r="E54" s="20"/>
      <c r="F54" s="20"/>
      <c r="G54" s="20">
        <f t="shared" si="10"/>
        <v>0</v>
      </c>
      <c r="H54" s="13" t="str">
        <f t="shared" si="11"/>
        <v>#DIV/0!</v>
      </c>
      <c r="I54" s="18"/>
      <c r="J54" s="10">
        <f t="shared" si="12"/>
        <v>0</v>
      </c>
      <c r="K54" s="18">
        <f t="shared" si="13"/>
        <v>0</v>
      </c>
      <c r="L54" s="22"/>
      <c r="M54" s="18">
        <f t="shared" si="14"/>
        <v>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7"/>
      <c r="B55" s="18"/>
      <c r="C55" s="20"/>
      <c r="D55" s="20"/>
      <c r="E55" s="20"/>
      <c r="F55" s="20"/>
      <c r="G55" s="20">
        <f t="shared" si="10"/>
        <v>0</v>
      </c>
      <c r="H55" s="13" t="str">
        <f t="shared" si="11"/>
        <v>#DIV/0!</v>
      </c>
      <c r="I55" s="18"/>
      <c r="J55" s="10">
        <f t="shared" si="12"/>
        <v>0</v>
      </c>
      <c r="K55" s="18">
        <f t="shared" si="13"/>
        <v>0</v>
      </c>
      <c r="L55" s="22"/>
      <c r="M55" s="18">
        <f t="shared" si="14"/>
        <v>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7"/>
      <c r="B56" s="18"/>
      <c r="C56" s="20"/>
      <c r="D56" s="20"/>
      <c r="E56" s="20"/>
      <c r="F56" s="20"/>
      <c r="G56" s="20">
        <f t="shared" si="10"/>
        <v>0</v>
      </c>
      <c r="H56" s="13" t="str">
        <f t="shared" si="11"/>
        <v>#DIV/0!</v>
      </c>
      <c r="I56" s="18"/>
      <c r="J56" s="10">
        <f t="shared" si="12"/>
        <v>0</v>
      </c>
      <c r="K56" s="18">
        <f t="shared" si="13"/>
        <v>0</v>
      </c>
      <c r="L56" s="22"/>
      <c r="M56" s="18">
        <f t="shared" si="14"/>
        <v>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7"/>
      <c r="B57" s="25"/>
      <c r="C57" s="20"/>
      <c r="D57" s="20"/>
      <c r="E57" s="20"/>
      <c r="F57" s="20"/>
      <c r="G57" s="20">
        <f t="shared" si="10"/>
        <v>0</v>
      </c>
      <c r="H57" s="13" t="str">
        <f t="shared" si="11"/>
        <v>#DIV/0!</v>
      </c>
      <c r="I57" s="18"/>
      <c r="J57" s="10">
        <f t="shared" si="12"/>
        <v>0</v>
      </c>
      <c r="K57" s="18">
        <f t="shared" si="13"/>
        <v>0</v>
      </c>
      <c r="L57" s="22"/>
      <c r="M57" s="18">
        <f t="shared" si="14"/>
        <v>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7"/>
      <c r="B58" s="25" t="s">
        <v>23</v>
      </c>
      <c r="C58" s="19">
        <v>27.0</v>
      </c>
      <c r="D58" s="19">
        <v>21.35</v>
      </c>
      <c r="E58" s="19">
        <v>18.65</v>
      </c>
      <c r="F58" s="19">
        <v>0.8</v>
      </c>
      <c r="G58" s="20">
        <f t="shared" si="10"/>
        <v>26.2</v>
      </c>
      <c r="H58" s="13">
        <f t="shared" si="11"/>
        <v>0.8148854962</v>
      </c>
      <c r="I58" s="21">
        <v>3000.0</v>
      </c>
      <c r="J58" s="10">
        <f t="shared" si="12"/>
        <v>140350</v>
      </c>
      <c r="K58" s="18">
        <f t="shared" si="13"/>
        <v>218950</v>
      </c>
      <c r="L58" s="22"/>
      <c r="M58" s="18">
        <f t="shared" si="14"/>
        <v>218950</v>
      </c>
      <c r="N58" s="24">
        <v>27.0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26" t="s">
        <v>24</v>
      </c>
      <c r="B59" s="27"/>
      <c r="C59" s="28"/>
      <c r="D59" s="28"/>
      <c r="E59" s="28"/>
      <c r="F59" s="28"/>
      <c r="G59" s="28">
        <f t="shared" si="10"/>
        <v>0</v>
      </c>
      <c r="H59" s="13" t="str">
        <f t="shared" si="11"/>
        <v>#DIV/0!</v>
      </c>
      <c r="I59" s="18"/>
      <c r="J59" s="10">
        <f t="shared" si="12"/>
        <v>0</v>
      </c>
      <c r="K59" s="18">
        <f t="shared" si="13"/>
        <v>0</v>
      </c>
      <c r="L59" s="29"/>
      <c r="M59" s="25">
        <f t="shared" si="14"/>
        <v>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25"/>
      <c r="B60" s="25"/>
      <c r="C60" s="25"/>
      <c r="D60" s="25" t="s">
        <v>25</v>
      </c>
      <c r="E60" s="28">
        <f>SUM(E43:E59)</f>
        <v>50.81</v>
      </c>
      <c r="F60" s="25"/>
      <c r="G60" s="25"/>
      <c r="H60" s="25"/>
      <c r="I60" s="25"/>
      <c r="J60" s="25"/>
      <c r="K60" s="30" t="s">
        <v>26</v>
      </c>
      <c r="L60" s="30">
        <f>SUM(L43:L59)</f>
        <v>85000</v>
      </c>
      <c r="M60" s="2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 t="s">
        <v>0</v>
      </c>
      <c r="B61" s="2">
        <v>46207.0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6"/>
      <c r="B62" s="7" t="s">
        <v>1</v>
      </c>
      <c r="C62" s="7" t="s">
        <v>2</v>
      </c>
      <c r="D62" s="7" t="s">
        <v>3</v>
      </c>
      <c r="E62" s="7" t="s">
        <v>4</v>
      </c>
      <c r="F62" s="7" t="s">
        <v>5</v>
      </c>
      <c r="G62" s="7" t="s">
        <v>6</v>
      </c>
      <c r="H62" s="7" t="s">
        <v>7</v>
      </c>
      <c r="I62" s="7" t="s">
        <v>8</v>
      </c>
      <c r="J62" s="7" t="s">
        <v>9</v>
      </c>
      <c r="K62" s="7" t="s">
        <v>10</v>
      </c>
      <c r="L62" s="7" t="s">
        <v>11</v>
      </c>
      <c r="M62" s="8" t="s">
        <v>12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9"/>
      <c r="B63" s="10" t="s">
        <v>13</v>
      </c>
      <c r="C63" s="11">
        <v>7.65</v>
      </c>
      <c r="D63" s="11">
        <v>6.0</v>
      </c>
      <c r="E63" s="11">
        <v>5.56</v>
      </c>
      <c r="F63" s="11">
        <v>0.1</v>
      </c>
      <c r="G63" s="12">
        <f t="shared" ref="G63:G79" si="15">C63-F63</f>
        <v>7.55</v>
      </c>
      <c r="H63" s="13">
        <f t="shared" ref="H63:H79" si="16">D63/G63</f>
        <v>0.7947019868</v>
      </c>
      <c r="I63" s="31">
        <v>3000.0</v>
      </c>
      <c r="J63" s="10">
        <f t="shared" ref="J63:J79" si="17">M43</f>
        <v>17.5</v>
      </c>
      <c r="K63" s="10">
        <f t="shared" ref="K63:K79" si="18">(G63*I63)+J63</f>
        <v>22667.5</v>
      </c>
      <c r="L63" s="16">
        <v>23000.0</v>
      </c>
      <c r="M63" s="10">
        <f t="shared" ref="M63:M79" si="19">K63-L63</f>
        <v>-332.5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7">
        <v>1.07</v>
      </c>
      <c r="B64" s="18" t="s">
        <v>14</v>
      </c>
      <c r="C64" s="19">
        <v>8.1</v>
      </c>
      <c r="D64" s="19">
        <v>6.5</v>
      </c>
      <c r="E64" s="19">
        <v>5.9</v>
      </c>
      <c r="F64" s="19">
        <v>0.14</v>
      </c>
      <c r="G64" s="20">
        <f t="shared" si="15"/>
        <v>7.96</v>
      </c>
      <c r="H64" s="13">
        <f t="shared" si="16"/>
        <v>0.8165829146</v>
      </c>
      <c r="I64" s="21">
        <v>3000.0</v>
      </c>
      <c r="J64" s="10">
        <f t="shared" si="17"/>
        <v>134754</v>
      </c>
      <c r="K64" s="18">
        <f t="shared" si="18"/>
        <v>158634</v>
      </c>
      <c r="L64" s="23">
        <v>158000.0</v>
      </c>
      <c r="M64" s="18">
        <f t="shared" si="19"/>
        <v>634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7">
        <v>0.96</v>
      </c>
      <c r="B65" s="18" t="s">
        <v>15</v>
      </c>
      <c r="C65" s="19">
        <v>6.75</v>
      </c>
      <c r="D65" s="19">
        <v>5.35</v>
      </c>
      <c r="E65" s="19">
        <v>4.9</v>
      </c>
      <c r="F65" s="19">
        <v>0.15</v>
      </c>
      <c r="G65" s="20">
        <f t="shared" si="15"/>
        <v>6.6</v>
      </c>
      <c r="H65" s="13">
        <f t="shared" si="16"/>
        <v>0.8106060606</v>
      </c>
      <c r="I65" s="21">
        <v>3000.0</v>
      </c>
      <c r="J65" s="10">
        <f t="shared" si="17"/>
        <v>101053</v>
      </c>
      <c r="K65" s="18">
        <f t="shared" si="18"/>
        <v>120853</v>
      </c>
      <c r="L65" s="23">
        <v>120000.0</v>
      </c>
      <c r="M65" s="18">
        <f t="shared" si="19"/>
        <v>853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7">
        <v>0.865</v>
      </c>
      <c r="B66" s="18" t="s">
        <v>16</v>
      </c>
      <c r="C66" s="20"/>
      <c r="D66" s="20"/>
      <c r="E66" s="20"/>
      <c r="F66" s="20"/>
      <c r="G66" s="20">
        <f t="shared" si="15"/>
        <v>0</v>
      </c>
      <c r="H66" s="13" t="str">
        <f t="shared" si="16"/>
        <v>#DIV/0!</v>
      </c>
      <c r="I66" s="18"/>
      <c r="J66" s="10">
        <f t="shared" si="17"/>
        <v>720</v>
      </c>
      <c r="K66" s="18">
        <f t="shared" si="18"/>
        <v>720</v>
      </c>
      <c r="L66" s="22"/>
      <c r="M66" s="18">
        <f t="shared" si="19"/>
        <v>720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7">
        <v>0.885</v>
      </c>
      <c r="B67" s="18" t="s">
        <v>17</v>
      </c>
      <c r="C67" s="20"/>
      <c r="D67" s="20"/>
      <c r="E67" s="20"/>
      <c r="F67" s="20"/>
      <c r="G67" s="20">
        <f t="shared" si="15"/>
        <v>0</v>
      </c>
      <c r="H67" s="13" t="str">
        <f t="shared" si="16"/>
        <v>#DIV/0!</v>
      </c>
      <c r="I67" s="18"/>
      <c r="J67" s="10">
        <f t="shared" si="17"/>
        <v>81</v>
      </c>
      <c r="K67" s="18">
        <f t="shared" si="18"/>
        <v>81</v>
      </c>
      <c r="L67" s="22"/>
      <c r="M67" s="18">
        <f t="shared" si="19"/>
        <v>81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7"/>
      <c r="B68" s="18" t="s">
        <v>18</v>
      </c>
      <c r="C68" s="20"/>
      <c r="D68" s="20"/>
      <c r="E68" s="20"/>
      <c r="F68" s="20"/>
      <c r="G68" s="20">
        <f t="shared" si="15"/>
        <v>0</v>
      </c>
      <c r="H68" s="13" t="str">
        <f t="shared" si="16"/>
        <v>#DIV/0!</v>
      </c>
      <c r="I68" s="18"/>
      <c r="J68" s="10">
        <f t="shared" si="17"/>
        <v>-562</v>
      </c>
      <c r="K68" s="18">
        <f t="shared" si="18"/>
        <v>-562</v>
      </c>
      <c r="L68" s="22"/>
      <c r="M68" s="18">
        <f t="shared" si="19"/>
        <v>-562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7">
        <v>0.85</v>
      </c>
      <c r="B69" s="18" t="s">
        <v>19</v>
      </c>
      <c r="C69" s="20"/>
      <c r="D69" s="20"/>
      <c r="E69" s="20"/>
      <c r="F69" s="20"/>
      <c r="G69" s="20">
        <f t="shared" si="15"/>
        <v>0</v>
      </c>
      <c r="H69" s="13" t="str">
        <f t="shared" si="16"/>
        <v>#DIV/0!</v>
      </c>
      <c r="I69" s="18"/>
      <c r="J69" s="10">
        <f t="shared" si="17"/>
        <v>360</v>
      </c>
      <c r="K69" s="18">
        <f t="shared" si="18"/>
        <v>360</v>
      </c>
      <c r="L69" s="22"/>
      <c r="M69" s="18">
        <f t="shared" si="19"/>
        <v>360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7">
        <v>0.93</v>
      </c>
      <c r="B70" s="18" t="s">
        <v>20</v>
      </c>
      <c r="C70" s="20"/>
      <c r="D70" s="20"/>
      <c r="E70" s="20"/>
      <c r="F70" s="20"/>
      <c r="G70" s="20">
        <f t="shared" si="15"/>
        <v>0</v>
      </c>
      <c r="H70" s="13" t="str">
        <f t="shared" si="16"/>
        <v>#DIV/0!</v>
      </c>
      <c r="I70" s="18"/>
      <c r="J70" s="10">
        <f t="shared" si="17"/>
        <v>-275</v>
      </c>
      <c r="K70" s="18">
        <f t="shared" si="18"/>
        <v>-275</v>
      </c>
      <c r="L70" s="22"/>
      <c r="M70" s="18">
        <f t="shared" si="19"/>
        <v>-275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7">
        <v>0.96</v>
      </c>
      <c r="B71" s="18" t="s">
        <v>21</v>
      </c>
      <c r="C71" s="19">
        <v>5.6</v>
      </c>
      <c r="D71" s="19">
        <v>4.55</v>
      </c>
      <c r="E71" s="19">
        <v>4.15</v>
      </c>
      <c r="F71" s="19">
        <v>0.1</v>
      </c>
      <c r="G71" s="20">
        <f t="shared" si="15"/>
        <v>5.5</v>
      </c>
      <c r="H71" s="13">
        <f t="shared" si="16"/>
        <v>0.8272727273</v>
      </c>
      <c r="I71" s="21">
        <v>3000.0</v>
      </c>
      <c r="J71" s="10">
        <f t="shared" si="17"/>
        <v>-93</v>
      </c>
      <c r="K71" s="18">
        <f t="shared" si="18"/>
        <v>16407</v>
      </c>
      <c r="L71" s="23">
        <v>17000.0</v>
      </c>
      <c r="M71" s="18">
        <f t="shared" si="19"/>
        <v>-593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7">
        <v>0.815</v>
      </c>
      <c r="B72" s="18" t="s">
        <v>22</v>
      </c>
      <c r="C72" s="20"/>
      <c r="D72" s="20"/>
      <c r="E72" s="20"/>
      <c r="F72" s="20"/>
      <c r="G72" s="20">
        <f t="shared" si="15"/>
        <v>0</v>
      </c>
      <c r="H72" s="13" t="str">
        <f t="shared" si="16"/>
        <v>#DIV/0!</v>
      </c>
      <c r="I72" s="18"/>
      <c r="J72" s="10">
        <f t="shared" si="17"/>
        <v>649</v>
      </c>
      <c r="K72" s="18">
        <f t="shared" si="18"/>
        <v>649</v>
      </c>
      <c r="L72" s="22"/>
      <c r="M72" s="18">
        <f t="shared" si="19"/>
        <v>649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7"/>
      <c r="B73" s="18"/>
      <c r="C73" s="20"/>
      <c r="D73" s="20"/>
      <c r="E73" s="20"/>
      <c r="F73" s="20"/>
      <c r="G73" s="20">
        <f t="shared" si="15"/>
        <v>0</v>
      </c>
      <c r="H73" s="13" t="str">
        <f t="shared" si="16"/>
        <v>#DIV/0!</v>
      </c>
      <c r="I73" s="18"/>
      <c r="J73" s="10">
        <f t="shared" si="17"/>
        <v>0</v>
      </c>
      <c r="K73" s="18">
        <f t="shared" si="18"/>
        <v>0</v>
      </c>
      <c r="L73" s="22"/>
      <c r="M73" s="18">
        <f t="shared" si="19"/>
        <v>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7"/>
      <c r="B74" s="18"/>
      <c r="C74" s="20"/>
      <c r="D74" s="20"/>
      <c r="E74" s="20"/>
      <c r="F74" s="20"/>
      <c r="G74" s="20">
        <f t="shared" si="15"/>
        <v>0</v>
      </c>
      <c r="H74" s="13" t="str">
        <f t="shared" si="16"/>
        <v>#DIV/0!</v>
      </c>
      <c r="I74" s="18"/>
      <c r="J74" s="10">
        <f t="shared" si="17"/>
        <v>0</v>
      </c>
      <c r="K74" s="18">
        <f t="shared" si="18"/>
        <v>0</v>
      </c>
      <c r="L74" s="22"/>
      <c r="M74" s="18">
        <f t="shared" si="19"/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7"/>
      <c r="B75" s="18"/>
      <c r="C75" s="20"/>
      <c r="D75" s="20"/>
      <c r="E75" s="20"/>
      <c r="F75" s="20"/>
      <c r="G75" s="20">
        <f t="shared" si="15"/>
        <v>0</v>
      </c>
      <c r="H75" s="13" t="str">
        <f t="shared" si="16"/>
        <v>#DIV/0!</v>
      </c>
      <c r="I75" s="18"/>
      <c r="J75" s="10">
        <f t="shared" si="17"/>
        <v>0</v>
      </c>
      <c r="K75" s="18">
        <f t="shared" si="18"/>
        <v>0</v>
      </c>
      <c r="L75" s="22"/>
      <c r="M75" s="18">
        <f t="shared" si="19"/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7"/>
      <c r="B76" s="18"/>
      <c r="C76" s="20"/>
      <c r="D76" s="20"/>
      <c r="E76" s="20"/>
      <c r="F76" s="20"/>
      <c r="G76" s="20">
        <f t="shared" si="15"/>
        <v>0</v>
      </c>
      <c r="H76" s="13" t="str">
        <f t="shared" si="16"/>
        <v>#DIV/0!</v>
      </c>
      <c r="I76" s="18"/>
      <c r="J76" s="10">
        <f t="shared" si="17"/>
        <v>0</v>
      </c>
      <c r="K76" s="18">
        <f t="shared" si="18"/>
        <v>0</v>
      </c>
      <c r="L76" s="22"/>
      <c r="M76" s="18">
        <f t="shared" si="19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7"/>
      <c r="B77" s="25"/>
      <c r="C77" s="20"/>
      <c r="D77" s="20"/>
      <c r="E77" s="20"/>
      <c r="F77" s="20"/>
      <c r="G77" s="20">
        <f t="shared" si="15"/>
        <v>0</v>
      </c>
      <c r="H77" s="13" t="str">
        <f t="shared" si="16"/>
        <v>#DIV/0!</v>
      </c>
      <c r="I77" s="18"/>
      <c r="J77" s="10">
        <f t="shared" si="17"/>
        <v>0</v>
      </c>
      <c r="K77" s="18">
        <f t="shared" si="18"/>
        <v>0</v>
      </c>
      <c r="L77" s="22"/>
      <c r="M77" s="18">
        <f t="shared" si="19"/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7"/>
      <c r="B78" s="25" t="s">
        <v>23</v>
      </c>
      <c r="C78" s="20"/>
      <c r="D78" s="20"/>
      <c r="E78" s="20"/>
      <c r="F78" s="20"/>
      <c r="G78" s="20">
        <f t="shared" si="15"/>
        <v>0</v>
      </c>
      <c r="H78" s="13" t="str">
        <f t="shared" si="16"/>
        <v>#DIV/0!</v>
      </c>
      <c r="I78" s="18"/>
      <c r="J78" s="10">
        <f t="shared" si="17"/>
        <v>218950</v>
      </c>
      <c r="K78" s="18">
        <f t="shared" si="18"/>
        <v>218950</v>
      </c>
      <c r="L78" s="22"/>
      <c r="M78" s="18">
        <f t="shared" si="19"/>
        <v>218950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26" t="s">
        <v>24</v>
      </c>
      <c r="B79" s="27"/>
      <c r="C79" s="28"/>
      <c r="D79" s="28"/>
      <c r="E79" s="28"/>
      <c r="F79" s="28"/>
      <c r="G79" s="28">
        <f t="shared" si="15"/>
        <v>0</v>
      </c>
      <c r="H79" s="13" t="str">
        <f t="shared" si="16"/>
        <v>#DIV/0!</v>
      </c>
      <c r="I79" s="18"/>
      <c r="J79" s="10">
        <f t="shared" si="17"/>
        <v>0</v>
      </c>
      <c r="K79" s="18">
        <f t="shared" si="18"/>
        <v>0</v>
      </c>
      <c r="L79" s="29"/>
      <c r="M79" s="25">
        <f t="shared" si="19"/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25"/>
      <c r="B80" s="25"/>
      <c r="C80" s="25"/>
      <c r="D80" s="25" t="s">
        <v>25</v>
      </c>
      <c r="E80" s="28">
        <f>SUM(E63:E79)</f>
        <v>20.51</v>
      </c>
      <c r="F80" s="25"/>
      <c r="G80" s="25"/>
      <c r="H80" s="25"/>
      <c r="I80" s="25"/>
      <c r="J80" s="25"/>
      <c r="K80" s="30" t="s">
        <v>26</v>
      </c>
      <c r="L80" s="30">
        <f>SUM(L63:L79)</f>
        <v>318000</v>
      </c>
      <c r="M80" s="2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 t="s">
        <v>0</v>
      </c>
      <c r="B81" s="2">
        <v>46208.0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6"/>
      <c r="B82" s="7" t="s">
        <v>1</v>
      </c>
      <c r="C82" s="7" t="s">
        <v>2</v>
      </c>
      <c r="D82" s="7" t="s">
        <v>3</v>
      </c>
      <c r="E82" s="7" t="s">
        <v>4</v>
      </c>
      <c r="F82" s="7" t="s">
        <v>5</v>
      </c>
      <c r="G82" s="7" t="s">
        <v>6</v>
      </c>
      <c r="H82" s="7" t="s">
        <v>7</v>
      </c>
      <c r="I82" s="7" t="s">
        <v>8</v>
      </c>
      <c r="J82" s="7" t="s">
        <v>9</v>
      </c>
      <c r="K82" s="7" t="s">
        <v>10</v>
      </c>
      <c r="L82" s="7" t="s">
        <v>11</v>
      </c>
      <c r="M82" s="8" t="s">
        <v>12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9"/>
      <c r="B83" s="10" t="s">
        <v>13</v>
      </c>
      <c r="C83" s="11">
        <v>7.7</v>
      </c>
      <c r="D83" s="11">
        <v>6.0</v>
      </c>
      <c r="E83" s="11">
        <v>5.5</v>
      </c>
      <c r="F83" s="11">
        <v>0.15</v>
      </c>
      <c r="G83" s="12">
        <f t="shared" ref="G83:G99" si="20">C83-F83</f>
        <v>7.55</v>
      </c>
      <c r="H83" s="13">
        <f t="shared" ref="H83:H99" si="21">D83/G83</f>
        <v>0.7947019868</v>
      </c>
      <c r="I83" s="31">
        <v>3000.0</v>
      </c>
      <c r="J83" s="10">
        <f t="shared" ref="J83:J99" si="22">M63</f>
        <v>-332.5</v>
      </c>
      <c r="K83" s="10">
        <f t="shared" ref="K83:K99" si="23">(G83*I83)+J83</f>
        <v>22317.5</v>
      </c>
      <c r="L83" s="32"/>
      <c r="M83" s="10">
        <f t="shared" ref="M83:M99" si="24">K83-L83</f>
        <v>22317.5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7">
        <v>1.07</v>
      </c>
      <c r="B84" s="18" t="s">
        <v>14</v>
      </c>
      <c r="C84" s="19">
        <v>7.5</v>
      </c>
      <c r="D84" s="19">
        <v>6.0</v>
      </c>
      <c r="E84" s="19">
        <v>5.5</v>
      </c>
      <c r="F84" s="19">
        <v>0.1</v>
      </c>
      <c r="G84" s="20">
        <f t="shared" si="20"/>
        <v>7.4</v>
      </c>
      <c r="H84" s="13">
        <f t="shared" si="21"/>
        <v>0.8108108108</v>
      </c>
      <c r="I84" s="21">
        <v>3000.0</v>
      </c>
      <c r="J84" s="10">
        <f t="shared" si="22"/>
        <v>634</v>
      </c>
      <c r="K84" s="18">
        <f t="shared" si="23"/>
        <v>22834</v>
      </c>
      <c r="L84" s="22"/>
      <c r="M84" s="18">
        <f t="shared" si="24"/>
        <v>22834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7">
        <v>0.96</v>
      </c>
      <c r="B85" s="18" t="s">
        <v>15</v>
      </c>
      <c r="C85" s="19">
        <v>6.9</v>
      </c>
      <c r="D85" s="19">
        <v>5.4</v>
      </c>
      <c r="E85" s="19">
        <v>5.05</v>
      </c>
      <c r="F85" s="19">
        <v>0.15</v>
      </c>
      <c r="G85" s="20">
        <f t="shared" si="20"/>
        <v>6.75</v>
      </c>
      <c r="H85" s="13">
        <f t="shared" si="21"/>
        <v>0.8</v>
      </c>
      <c r="I85" s="21">
        <v>3000.0</v>
      </c>
      <c r="J85" s="10">
        <f t="shared" si="22"/>
        <v>853</v>
      </c>
      <c r="K85" s="18">
        <f t="shared" si="23"/>
        <v>21103</v>
      </c>
      <c r="L85" s="22"/>
      <c r="M85" s="18">
        <f t="shared" si="24"/>
        <v>21103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7">
        <v>0.865</v>
      </c>
      <c r="B86" s="18" t="s">
        <v>16</v>
      </c>
      <c r="C86" s="20"/>
      <c r="D86" s="20"/>
      <c r="E86" s="20"/>
      <c r="F86" s="20"/>
      <c r="G86" s="20">
        <f t="shared" si="20"/>
        <v>0</v>
      </c>
      <c r="H86" s="13" t="str">
        <f t="shared" si="21"/>
        <v>#DIV/0!</v>
      </c>
      <c r="I86" s="18"/>
      <c r="J86" s="10">
        <f t="shared" si="22"/>
        <v>720</v>
      </c>
      <c r="K86" s="18">
        <f t="shared" si="23"/>
        <v>720</v>
      </c>
      <c r="L86" s="22"/>
      <c r="M86" s="18">
        <f t="shared" si="24"/>
        <v>720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7">
        <v>0.885</v>
      </c>
      <c r="B87" s="18" t="s">
        <v>17</v>
      </c>
      <c r="C87" s="20"/>
      <c r="D87" s="20"/>
      <c r="E87" s="20"/>
      <c r="F87" s="20"/>
      <c r="G87" s="20">
        <f t="shared" si="20"/>
        <v>0</v>
      </c>
      <c r="H87" s="13" t="str">
        <f t="shared" si="21"/>
        <v>#DIV/0!</v>
      </c>
      <c r="I87" s="18"/>
      <c r="J87" s="10">
        <f t="shared" si="22"/>
        <v>81</v>
      </c>
      <c r="K87" s="18">
        <f t="shared" si="23"/>
        <v>81</v>
      </c>
      <c r="L87" s="22"/>
      <c r="M87" s="18">
        <f t="shared" si="24"/>
        <v>81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7"/>
      <c r="B88" s="18" t="s">
        <v>18</v>
      </c>
      <c r="C88" s="19">
        <v>16.0</v>
      </c>
      <c r="D88" s="19">
        <v>12.0</v>
      </c>
      <c r="E88" s="19">
        <v>11.15</v>
      </c>
      <c r="F88" s="19">
        <v>0.25</v>
      </c>
      <c r="G88" s="20">
        <f t="shared" si="20"/>
        <v>15.75</v>
      </c>
      <c r="H88" s="13">
        <f t="shared" si="21"/>
        <v>0.7619047619</v>
      </c>
      <c r="I88" s="21">
        <v>3000.0</v>
      </c>
      <c r="J88" s="10">
        <f t="shared" si="22"/>
        <v>-562</v>
      </c>
      <c r="K88" s="18">
        <f t="shared" si="23"/>
        <v>46688</v>
      </c>
      <c r="L88" s="23"/>
      <c r="M88" s="18">
        <f t="shared" si="24"/>
        <v>46688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7">
        <v>0.85</v>
      </c>
      <c r="B89" s="18" t="s">
        <v>19</v>
      </c>
      <c r="C89" s="20"/>
      <c r="D89" s="20"/>
      <c r="E89" s="20"/>
      <c r="F89" s="20"/>
      <c r="G89" s="20">
        <f t="shared" si="20"/>
        <v>0</v>
      </c>
      <c r="H89" s="13" t="str">
        <f t="shared" si="21"/>
        <v>#DIV/0!</v>
      </c>
      <c r="I89" s="18"/>
      <c r="J89" s="10">
        <f t="shared" si="22"/>
        <v>360</v>
      </c>
      <c r="K89" s="18">
        <f t="shared" si="23"/>
        <v>360</v>
      </c>
      <c r="L89" s="22"/>
      <c r="M89" s="18">
        <f t="shared" si="24"/>
        <v>360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7">
        <v>0.93</v>
      </c>
      <c r="B90" s="18" t="s">
        <v>20</v>
      </c>
      <c r="C90" s="20"/>
      <c r="D90" s="20"/>
      <c r="E90" s="20"/>
      <c r="F90" s="20"/>
      <c r="G90" s="20">
        <f t="shared" si="20"/>
        <v>0</v>
      </c>
      <c r="H90" s="13" t="str">
        <f t="shared" si="21"/>
        <v>#DIV/0!</v>
      </c>
      <c r="I90" s="18"/>
      <c r="J90" s="10">
        <f t="shared" si="22"/>
        <v>-275</v>
      </c>
      <c r="K90" s="18">
        <f t="shared" si="23"/>
        <v>-275</v>
      </c>
      <c r="L90" s="22"/>
      <c r="M90" s="18">
        <f t="shared" si="24"/>
        <v>-275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7">
        <v>0.96</v>
      </c>
      <c r="B91" s="18" t="s">
        <v>21</v>
      </c>
      <c r="C91" s="19">
        <v>6.1</v>
      </c>
      <c r="D91" s="19">
        <v>4.8</v>
      </c>
      <c r="E91" s="19">
        <v>4.0</v>
      </c>
      <c r="F91" s="19">
        <v>0.15</v>
      </c>
      <c r="G91" s="20">
        <f t="shared" si="20"/>
        <v>5.95</v>
      </c>
      <c r="H91" s="13">
        <f t="shared" si="21"/>
        <v>0.8067226891</v>
      </c>
      <c r="I91" s="21">
        <v>3000.0</v>
      </c>
      <c r="J91" s="10">
        <f t="shared" si="22"/>
        <v>-593</v>
      </c>
      <c r="K91" s="18">
        <f t="shared" si="23"/>
        <v>17257</v>
      </c>
      <c r="L91" s="22"/>
      <c r="M91" s="18">
        <f t="shared" si="24"/>
        <v>17257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7">
        <v>0.815</v>
      </c>
      <c r="B92" s="18" t="s">
        <v>22</v>
      </c>
      <c r="C92" s="20"/>
      <c r="D92" s="20"/>
      <c r="E92" s="20"/>
      <c r="F92" s="20"/>
      <c r="G92" s="20">
        <f t="shared" si="20"/>
        <v>0</v>
      </c>
      <c r="H92" s="13" t="str">
        <f t="shared" si="21"/>
        <v>#DIV/0!</v>
      </c>
      <c r="I92" s="18"/>
      <c r="J92" s="10">
        <f t="shared" si="22"/>
        <v>649</v>
      </c>
      <c r="K92" s="18">
        <f t="shared" si="23"/>
        <v>649</v>
      </c>
      <c r="L92" s="22"/>
      <c r="M92" s="18">
        <f t="shared" si="24"/>
        <v>649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7"/>
      <c r="B93" s="18"/>
      <c r="C93" s="20"/>
      <c r="D93" s="20"/>
      <c r="E93" s="20"/>
      <c r="F93" s="20"/>
      <c r="G93" s="20">
        <f t="shared" si="20"/>
        <v>0</v>
      </c>
      <c r="H93" s="13" t="str">
        <f t="shared" si="21"/>
        <v>#DIV/0!</v>
      </c>
      <c r="I93" s="18"/>
      <c r="J93" s="10">
        <f t="shared" si="22"/>
        <v>0</v>
      </c>
      <c r="K93" s="18">
        <f t="shared" si="23"/>
        <v>0</v>
      </c>
      <c r="L93" s="22"/>
      <c r="M93" s="18">
        <f t="shared" si="24"/>
        <v>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7"/>
      <c r="B94" s="18"/>
      <c r="C94" s="20"/>
      <c r="D94" s="20"/>
      <c r="E94" s="20"/>
      <c r="F94" s="20"/>
      <c r="G94" s="20">
        <f t="shared" si="20"/>
        <v>0</v>
      </c>
      <c r="H94" s="13" t="str">
        <f t="shared" si="21"/>
        <v>#DIV/0!</v>
      </c>
      <c r="I94" s="18"/>
      <c r="J94" s="10">
        <f t="shared" si="22"/>
        <v>0</v>
      </c>
      <c r="K94" s="18">
        <f t="shared" si="23"/>
        <v>0</v>
      </c>
      <c r="L94" s="22"/>
      <c r="M94" s="18">
        <f t="shared" si="24"/>
        <v>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7"/>
      <c r="B95" s="18"/>
      <c r="C95" s="20"/>
      <c r="D95" s="20"/>
      <c r="E95" s="20"/>
      <c r="F95" s="20"/>
      <c r="G95" s="20">
        <f t="shared" si="20"/>
        <v>0</v>
      </c>
      <c r="H95" s="13" t="str">
        <f t="shared" si="21"/>
        <v>#DIV/0!</v>
      </c>
      <c r="I95" s="18"/>
      <c r="J95" s="10">
        <f t="shared" si="22"/>
        <v>0</v>
      </c>
      <c r="K95" s="18">
        <f t="shared" si="23"/>
        <v>0</v>
      </c>
      <c r="L95" s="22"/>
      <c r="M95" s="18">
        <f t="shared" si="24"/>
        <v>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7"/>
      <c r="B96" s="18"/>
      <c r="C96" s="20"/>
      <c r="D96" s="20"/>
      <c r="E96" s="20"/>
      <c r="F96" s="20"/>
      <c r="G96" s="20">
        <f t="shared" si="20"/>
        <v>0</v>
      </c>
      <c r="H96" s="13" t="str">
        <f t="shared" si="21"/>
        <v>#DIV/0!</v>
      </c>
      <c r="I96" s="18"/>
      <c r="J96" s="10">
        <f t="shared" si="22"/>
        <v>0</v>
      </c>
      <c r="K96" s="18">
        <f t="shared" si="23"/>
        <v>0</v>
      </c>
      <c r="L96" s="22"/>
      <c r="M96" s="18">
        <f t="shared" si="24"/>
        <v>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7"/>
      <c r="B97" s="25"/>
      <c r="C97" s="20"/>
      <c r="D97" s="20"/>
      <c r="E97" s="20"/>
      <c r="F97" s="20"/>
      <c r="G97" s="20">
        <f t="shared" si="20"/>
        <v>0</v>
      </c>
      <c r="H97" s="13" t="str">
        <f t="shared" si="21"/>
        <v>#DIV/0!</v>
      </c>
      <c r="I97" s="18"/>
      <c r="J97" s="10">
        <f t="shared" si="22"/>
        <v>0</v>
      </c>
      <c r="K97" s="18">
        <f t="shared" si="23"/>
        <v>0</v>
      </c>
      <c r="L97" s="22"/>
      <c r="M97" s="18">
        <f t="shared" si="24"/>
        <v>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7"/>
      <c r="B98" s="25" t="s">
        <v>23</v>
      </c>
      <c r="C98" s="20"/>
      <c r="D98" s="20"/>
      <c r="E98" s="20"/>
      <c r="F98" s="20"/>
      <c r="G98" s="20">
        <f t="shared" si="20"/>
        <v>0</v>
      </c>
      <c r="H98" s="13" t="str">
        <f t="shared" si="21"/>
        <v>#DIV/0!</v>
      </c>
      <c r="I98" s="18"/>
      <c r="J98" s="10">
        <f t="shared" si="22"/>
        <v>218950</v>
      </c>
      <c r="K98" s="18">
        <f t="shared" si="23"/>
        <v>218950</v>
      </c>
      <c r="L98" s="22"/>
      <c r="M98" s="18">
        <f t="shared" si="24"/>
        <v>218950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6" t="s">
        <v>24</v>
      </c>
      <c r="B99" s="27"/>
      <c r="C99" s="28"/>
      <c r="D99" s="28"/>
      <c r="E99" s="28"/>
      <c r="F99" s="28"/>
      <c r="G99" s="28">
        <f t="shared" si="20"/>
        <v>0</v>
      </c>
      <c r="H99" s="13" t="str">
        <f t="shared" si="21"/>
        <v>#DIV/0!</v>
      </c>
      <c r="I99" s="18"/>
      <c r="J99" s="10">
        <f t="shared" si="22"/>
        <v>0</v>
      </c>
      <c r="K99" s="18">
        <f t="shared" si="23"/>
        <v>0</v>
      </c>
      <c r="L99" s="29"/>
      <c r="M99" s="25">
        <f t="shared" si="24"/>
        <v>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5"/>
      <c r="B100" s="25"/>
      <c r="C100" s="25"/>
      <c r="D100" s="25" t="s">
        <v>25</v>
      </c>
      <c r="E100" s="28">
        <f>SUM(E83:E99)</f>
        <v>31.2</v>
      </c>
      <c r="F100" s="25"/>
      <c r="G100" s="25"/>
      <c r="H100" s="25"/>
      <c r="I100" s="25"/>
      <c r="J100" s="25"/>
      <c r="K100" s="30" t="s">
        <v>26</v>
      </c>
      <c r="L100" s="30">
        <f>SUM(L83:L99)</f>
        <v>0</v>
      </c>
      <c r="M100" s="2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 t="s">
        <v>0</v>
      </c>
      <c r="B101" s="2">
        <v>46209.0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6"/>
      <c r="B102" s="7" t="s">
        <v>1</v>
      </c>
      <c r="C102" s="7" t="s">
        <v>2</v>
      </c>
      <c r="D102" s="7" t="s">
        <v>3</v>
      </c>
      <c r="E102" s="7" t="s">
        <v>4</v>
      </c>
      <c r="F102" s="7" t="s">
        <v>5</v>
      </c>
      <c r="G102" s="7" t="s">
        <v>6</v>
      </c>
      <c r="H102" s="7" t="s">
        <v>7</v>
      </c>
      <c r="I102" s="7" t="s">
        <v>8</v>
      </c>
      <c r="J102" s="7" t="s">
        <v>9</v>
      </c>
      <c r="K102" s="7" t="s">
        <v>10</v>
      </c>
      <c r="L102" s="7" t="s">
        <v>11</v>
      </c>
      <c r="M102" s="8" t="s">
        <v>12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9"/>
      <c r="B103" s="10" t="s">
        <v>13</v>
      </c>
      <c r="C103" s="11">
        <v>7.7</v>
      </c>
      <c r="D103" s="11">
        <v>6.0</v>
      </c>
      <c r="E103" s="11">
        <v>5.55</v>
      </c>
      <c r="F103" s="11">
        <v>0.15</v>
      </c>
      <c r="G103" s="12">
        <f t="shared" ref="G103:G119" si="25">C103-F103</f>
        <v>7.55</v>
      </c>
      <c r="H103" s="13">
        <f t="shared" ref="H103:H119" si="26">D103/G103</f>
        <v>0.7947019868</v>
      </c>
      <c r="I103" s="31">
        <v>3000.0</v>
      </c>
      <c r="J103" s="10">
        <f t="shared" ref="J103:J119" si="27">M83</f>
        <v>22317.5</v>
      </c>
      <c r="K103" s="10">
        <f t="shared" ref="K103:K119" si="28">(G103*I103)+J103</f>
        <v>44967.5</v>
      </c>
      <c r="L103" s="16">
        <v>45000.0</v>
      </c>
      <c r="M103" s="10">
        <f t="shared" ref="M103:M119" si="29">K103-L103</f>
        <v>-32.5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7">
        <v>1.07</v>
      </c>
      <c r="B104" s="18" t="s">
        <v>14</v>
      </c>
      <c r="C104" s="19">
        <v>6.4</v>
      </c>
      <c r="D104" s="19">
        <v>5.1</v>
      </c>
      <c r="E104" s="19">
        <v>4.8</v>
      </c>
      <c r="F104" s="19">
        <v>0.15</v>
      </c>
      <c r="G104" s="20">
        <f t="shared" si="25"/>
        <v>6.25</v>
      </c>
      <c r="H104" s="13">
        <f t="shared" si="26"/>
        <v>0.816</v>
      </c>
      <c r="I104" s="21">
        <v>3000.0</v>
      </c>
      <c r="J104" s="10">
        <f t="shared" si="27"/>
        <v>22834</v>
      </c>
      <c r="K104" s="18">
        <f t="shared" si="28"/>
        <v>41584</v>
      </c>
      <c r="L104" s="22"/>
      <c r="M104" s="18">
        <f t="shared" si="29"/>
        <v>41584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7">
        <v>0.96</v>
      </c>
      <c r="B105" s="18" t="s">
        <v>15</v>
      </c>
      <c r="C105" s="19">
        <v>5.5</v>
      </c>
      <c r="D105" s="19">
        <v>4.35</v>
      </c>
      <c r="E105" s="19">
        <v>4.3</v>
      </c>
      <c r="F105" s="19">
        <v>0.15</v>
      </c>
      <c r="G105" s="20">
        <f t="shared" si="25"/>
        <v>5.35</v>
      </c>
      <c r="H105" s="13">
        <f t="shared" si="26"/>
        <v>0.8130841121</v>
      </c>
      <c r="I105" s="21">
        <v>3000.0</v>
      </c>
      <c r="J105" s="10">
        <f t="shared" si="27"/>
        <v>21103</v>
      </c>
      <c r="K105" s="18">
        <f t="shared" si="28"/>
        <v>37153</v>
      </c>
      <c r="L105" s="22"/>
      <c r="M105" s="18">
        <f t="shared" si="29"/>
        <v>37153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7">
        <v>0.865</v>
      </c>
      <c r="B106" s="18" t="s">
        <v>16</v>
      </c>
      <c r="C106" s="20"/>
      <c r="D106" s="20"/>
      <c r="E106" s="20"/>
      <c r="F106" s="20"/>
      <c r="G106" s="20">
        <f t="shared" si="25"/>
        <v>0</v>
      </c>
      <c r="H106" s="13" t="str">
        <f t="shared" si="26"/>
        <v>#DIV/0!</v>
      </c>
      <c r="I106" s="18"/>
      <c r="J106" s="10">
        <f t="shared" si="27"/>
        <v>720</v>
      </c>
      <c r="K106" s="18">
        <f t="shared" si="28"/>
        <v>720</v>
      </c>
      <c r="L106" s="22"/>
      <c r="M106" s="18">
        <f t="shared" si="29"/>
        <v>720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7">
        <v>0.885</v>
      </c>
      <c r="B107" s="18" t="s">
        <v>17</v>
      </c>
      <c r="C107" s="20"/>
      <c r="D107" s="20"/>
      <c r="E107" s="20"/>
      <c r="F107" s="20"/>
      <c r="G107" s="20">
        <f t="shared" si="25"/>
        <v>0</v>
      </c>
      <c r="H107" s="13" t="str">
        <f t="shared" si="26"/>
        <v>#DIV/0!</v>
      </c>
      <c r="I107" s="18"/>
      <c r="J107" s="10">
        <f t="shared" si="27"/>
        <v>81</v>
      </c>
      <c r="K107" s="18">
        <f t="shared" si="28"/>
        <v>81</v>
      </c>
      <c r="L107" s="22"/>
      <c r="M107" s="18">
        <f t="shared" si="29"/>
        <v>81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7"/>
      <c r="B108" s="18" t="s">
        <v>18</v>
      </c>
      <c r="C108" s="20"/>
      <c r="D108" s="20"/>
      <c r="E108" s="20"/>
      <c r="F108" s="20"/>
      <c r="G108" s="20">
        <f t="shared" si="25"/>
        <v>0</v>
      </c>
      <c r="H108" s="13" t="str">
        <f t="shared" si="26"/>
        <v>#DIV/0!</v>
      </c>
      <c r="I108" s="18"/>
      <c r="J108" s="10">
        <f t="shared" si="27"/>
        <v>46688</v>
      </c>
      <c r="K108" s="18">
        <f t="shared" si="28"/>
        <v>46688</v>
      </c>
      <c r="L108" s="23">
        <v>47000.0</v>
      </c>
      <c r="M108" s="18">
        <f t="shared" si="29"/>
        <v>-312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7">
        <v>0.85</v>
      </c>
      <c r="B109" s="18" t="s">
        <v>19</v>
      </c>
      <c r="C109" s="20"/>
      <c r="D109" s="20"/>
      <c r="E109" s="20"/>
      <c r="F109" s="20"/>
      <c r="G109" s="20">
        <f t="shared" si="25"/>
        <v>0</v>
      </c>
      <c r="H109" s="13" t="str">
        <f t="shared" si="26"/>
        <v>#DIV/0!</v>
      </c>
      <c r="I109" s="18"/>
      <c r="J109" s="10">
        <f t="shared" si="27"/>
        <v>360</v>
      </c>
      <c r="K109" s="18">
        <f t="shared" si="28"/>
        <v>360</v>
      </c>
      <c r="L109" s="22"/>
      <c r="M109" s="18">
        <f t="shared" si="29"/>
        <v>360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7">
        <v>0.93</v>
      </c>
      <c r="B110" s="18" t="s">
        <v>20</v>
      </c>
      <c r="C110" s="20"/>
      <c r="D110" s="20"/>
      <c r="E110" s="20"/>
      <c r="F110" s="20"/>
      <c r="G110" s="20">
        <f t="shared" si="25"/>
        <v>0</v>
      </c>
      <c r="H110" s="13" t="str">
        <f t="shared" si="26"/>
        <v>#DIV/0!</v>
      </c>
      <c r="I110" s="18"/>
      <c r="J110" s="10">
        <f t="shared" si="27"/>
        <v>-275</v>
      </c>
      <c r="K110" s="18">
        <f t="shared" si="28"/>
        <v>-275</v>
      </c>
      <c r="L110" s="22"/>
      <c r="M110" s="18">
        <f t="shared" si="29"/>
        <v>-275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7">
        <v>0.96</v>
      </c>
      <c r="B111" s="18" t="s">
        <v>21</v>
      </c>
      <c r="C111" s="20"/>
      <c r="D111" s="20"/>
      <c r="E111" s="20"/>
      <c r="F111" s="20"/>
      <c r="G111" s="20">
        <f t="shared" si="25"/>
        <v>0</v>
      </c>
      <c r="H111" s="13" t="str">
        <f t="shared" si="26"/>
        <v>#DIV/0!</v>
      </c>
      <c r="I111" s="18"/>
      <c r="J111" s="10">
        <f t="shared" si="27"/>
        <v>17257</v>
      </c>
      <c r="K111" s="18">
        <f t="shared" si="28"/>
        <v>17257</v>
      </c>
      <c r="L111" s="22"/>
      <c r="M111" s="18">
        <f t="shared" si="29"/>
        <v>17257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7">
        <v>0.815</v>
      </c>
      <c r="B112" s="18" t="s">
        <v>22</v>
      </c>
      <c r="C112" s="20"/>
      <c r="D112" s="20"/>
      <c r="E112" s="20"/>
      <c r="F112" s="20"/>
      <c r="G112" s="20">
        <f t="shared" si="25"/>
        <v>0</v>
      </c>
      <c r="H112" s="13" t="str">
        <f t="shared" si="26"/>
        <v>#DIV/0!</v>
      </c>
      <c r="I112" s="18"/>
      <c r="J112" s="10">
        <f t="shared" si="27"/>
        <v>649</v>
      </c>
      <c r="K112" s="18">
        <f t="shared" si="28"/>
        <v>649</v>
      </c>
      <c r="L112" s="22"/>
      <c r="M112" s="18">
        <f t="shared" si="29"/>
        <v>649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7"/>
      <c r="B113" s="18"/>
      <c r="C113" s="20"/>
      <c r="D113" s="20"/>
      <c r="E113" s="20"/>
      <c r="F113" s="20"/>
      <c r="G113" s="20">
        <f t="shared" si="25"/>
        <v>0</v>
      </c>
      <c r="H113" s="13" t="str">
        <f t="shared" si="26"/>
        <v>#DIV/0!</v>
      </c>
      <c r="I113" s="18"/>
      <c r="J113" s="10">
        <f t="shared" si="27"/>
        <v>0</v>
      </c>
      <c r="K113" s="18">
        <f t="shared" si="28"/>
        <v>0</v>
      </c>
      <c r="L113" s="22"/>
      <c r="M113" s="18">
        <f t="shared" si="29"/>
        <v>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7"/>
      <c r="B114" s="18"/>
      <c r="C114" s="20"/>
      <c r="D114" s="20"/>
      <c r="E114" s="20"/>
      <c r="F114" s="20"/>
      <c r="G114" s="20">
        <f t="shared" si="25"/>
        <v>0</v>
      </c>
      <c r="H114" s="13" t="str">
        <f t="shared" si="26"/>
        <v>#DIV/0!</v>
      </c>
      <c r="I114" s="18"/>
      <c r="J114" s="10">
        <f t="shared" si="27"/>
        <v>0</v>
      </c>
      <c r="K114" s="18">
        <f t="shared" si="28"/>
        <v>0</v>
      </c>
      <c r="L114" s="22"/>
      <c r="M114" s="18">
        <f t="shared" si="29"/>
        <v>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7"/>
      <c r="B115" s="18"/>
      <c r="C115" s="20"/>
      <c r="D115" s="20"/>
      <c r="E115" s="20"/>
      <c r="F115" s="20"/>
      <c r="G115" s="20">
        <f t="shared" si="25"/>
        <v>0</v>
      </c>
      <c r="H115" s="13" t="str">
        <f t="shared" si="26"/>
        <v>#DIV/0!</v>
      </c>
      <c r="I115" s="18"/>
      <c r="J115" s="10">
        <f t="shared" si="27"/>
        <v>0</v>
      </c>
      <c r="K115" s="18">
        <f t="shared" si="28"/>
        <v>0</v>
      </c>
      <c r="L115" s="22"/>
      <c r="M115" s="18">
        <f t="shared" si="29"/>
        <v>0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7"/>
      <c r="B116" s="18"/>
      <c r="C116" s="20"/>
      <c r="D116" s="20"/>
      <c r="E116" s="20"/>
      <c r="F116" s="20"/>
      <c r="G116" s="20">
        <f t="shared" si="25"/>
        <v>0</v>
      </c>
      <c r="H116" s="13" t="str">
        <f t="shared" si="26"/>
        <v>#DIV/0!</v>
      </c>
      <c r="I116" s="18"/>
      <c r="J116" s="10">
        <f t="shared" si="27"/>
        <v>0</v>
      </c>
      <c r="K116" s="18">
        <f t="shared" si="28"/>
        <v>0</v>
      </c>
      <c r="L116" s="22"/>
      <c r="M116" s="18">
        <f t="shared" si="29"/>
        <v>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7"/>
      <c r="B117" s="25"/>
      <c r="C117" s="20"/>
      <c r="D117" s="20"/>
      <c r="E117" s="20"/>
      <c r="F117" s="20"/>
      <c r="G117" s="20">
        <f t="shared" si="25"/>
        <v>0</v>
      </c>
      <c r="H117" s="13" t="str">
        <f t="shared" si="26"/>
        <v>#DIV/0!</v>
      </c>
      <c r="I117" s="18"/>
      <c r="J117" s="10">
        <f t="shared" si="27"/>
        <v>0</v>
      </c>
      <c r="K117" s="18">
        <f t="shared" si="28"/>
        <v>0</v>
      </c>
      <c r="L117" s="22"/>
      <c r="M117" s="18">
        <f t="shared" si="29"/>
        <v>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7"/>
      <c r="B118" s="25" t="s">
        <v>23</v>
      </c>
      <c r="C118" s="20"/>
      <c r="D118" s="20"/>
      <c r="E118" s="20"/>
      <c r="F118" s="20"/>
      <c r="G118" s="20">
        <f t="shared" si="25"/>
        <v>0</v>
      </c>
      <c r="H118" s="13" t="str">
        <f t="shared" si="26"/>
        <v>#DIV/0!</v>
      </c>
      <c r="I118" s="18"/>
      <c r="J118" s="10">
        <f t="shared" si="27"/>
        <v>218950</v>
      </c>
      <c r="K118" s="18">
        <f t="shared" si="28"/>
        <v>218950</v>
      </c>
      <c r="L118" s="22"/>
      <c r="M118" s="18">
        <f t="shared" si="29"/>
        <v>218950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6" t="s">
        <v>24</v>
      </c>
      <c r="B119" s="27"/>
      <c r="C119" s="28"/>
      <c r="D119" s="28"/>
      <c r="E119" s="28"/>
      <c r="F119" s="28"/>
      <c r="G119" s="28">
        <f t="shared" si="25"/>
        <v>0</v>
      </c>
      <c r="H119" s="13" t="str">
        <f t="shared" si="26"/>
        <v>#DIV/0!</v>
      </c>
      <c r="I119" s="18"/>
      <c r="J119" s="10">
        <f t="shared" si="27"/>
        <v>0</v>
      </c>
      <c r="K119" s="18">
        <f t="shared" si="28"/>
        <v>0</v>
      </c>
      <c r="L119" s="29"/>
      <c r="M119" s="25">
        <f t="shared" si="29"/>
        <v>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25"/>
      <c r="B120" s="25"/>
      <c r="C120" s="25"/>
      <c r="D120" s="25" t="s">
        <v>25</v>
      </c>
      <c r="E120" s="28">
        <f>SUM(E103:E119)</f>
        <v>14.65</v>
      </c>
      <c r="F120" s="25"/>
      <c r="G120" s="25"/>
      <c r="H120" s="25"/>
      <c r="I120" s="25"/>
      <c r="J120" s="25"/>
      <c r="K120" s="30" t="s">
        <v>26</v>
      </c>
      <c r="L120" s="30">
        <f>SUM(L103:L119)</f>
        <v>92000</v>
      </c>
      <c r="M120" s="2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C124" s="5"/>
      <c r="D124" s="5"/>
      <c r="E124" s="5"/>
      <c r="F124" s="5"/>
      <c r="G124" s="5"/>
      <c r="H124" s="5"/>
      <c r="I124" s="5"/>
      <c r="J124" s="5"/>
      <c r="K124" s="33" t="s">
        <v>27</v>
      </c>
      <c r="L124" s="5">
        <f>L20+L40+L60+L80+L100+L120</f>
        <v>620480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C126" s="5"/>
      <c r="D126" s="5"/>
      <c r="E126" s="5"/>
      <c r="F126" s="5"/>
      <c r="G126" s="5"/>
      <c r="H126" s="5"/>
      <c r="I126" s="5"/>
      <c r="J126" s="5"/>
      <c r="K126" s="33" t="s">
        <v>28</v>
      </c>
      <c r="L126" s="34">
        <f>E20+E40+E60+E80+E100+E120</f>
        <v>177.92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H3:H19 H23:H39 H43:H59 H63:H79 H83:H99 H103:H119">
    <cfRule type="cellIs" dxfId="0" priority="1" operator="between">
      <formula>0</formula>
      <formula>0.7399</formula>
    </cfRule>
  </conditionalFormatting>
  <conditionalFormatting sqref="H3:H19 H23:H39 H43:H59 H63:H79 H83:H99 H103:H119">
    <cfRule type="cellIs" dxfId="1" priority="2" operator="between">
      <formula>0.74</formula>
      <formula>0.7499</formula>
    </cfRule>
  </conditionalFormatting>
  <conditionalFormatting sqref="H3:H19 H23:H39 H43:H59 H63:H79 H83:H99 H103:H119">
    <cfRule type="cellIs" dxfId="2" priority="3" operator="between">
      <formula>75%</formula>
      <formula>100%</formula>
    </cfRule>
  </conditionalFormatting>
  <dataValidations>
    <dataValidation type="list" allowBlank="1" showErrorMessage="1" sqref="I1 I3:I19 I23:I39 I43:I59 I63:I79 I83:I99 I103:I119">
      <formula1>"2400,2700,3000"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86"/>
    <col customWidth="1" min="3" max="3" width="13.43"/>
    <col customWidth="1" min="4" max="5" width="13.14"/>
    <col customWidth="1" min="6" max="6" width="13.0"/>
    <col customWidth="1" min="7" max="7" width="14.14"/>
    <col customWidth="1" min="8" max="8" width="15.43"/>
    <col customWidth="1" min="9" max="9" width="17.71"/>
    <col customWidth="1" min="10" max="10" width="13.0"/>
    <col customWidth="1" min="11" max="11" width="12.0"/>
    <col customWidth="1" min="12" max="12" width="11.86"/>
    <col customWidth="1" min="13" max="13" width="12.14"/>
    <col customWidth="1" min="14" max="26" width="9.14"/>
  </cols>
  <sheetData>
    <row r="1" ht="20.25" customHeight="1">
      <c r="A1" s="1" t="s">
        <v>0</v>
      </c>
      <c r="B1" s="2">
        <v>46210.0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0.75" customHeight="1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8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9"/>
      <c r="B3" s="10" t="s">
        <v>13</v>
      </c>
      <c r="C3" s="11">
        <v>7.4</v>
      </c>
      <c r="D3" s="11">
        <v>5.95</v>
      </c>
      <c r="E3" s="11">
        <v>5.35</v>
      </c>
      <c r="F3" s="11">
        <v>0.15</v>
      </c>
      <c r="G3" s="12">
        <f t="shared" ref="G3:G19" si="1">C3-F3</f>
        <v>7.25</v>
      </c>
      <c r="H3" s="13">
        <f t="shared" ref="H3:H19" si="2">D3/G3</f>
        <v>0.8206896552</v>
      </c>
      <c r="I3" s="35">
        <v>3000.0</v>
      </c>
      <c r="J3" s="10">
        <f>'1st Week'!M103</f>
        <v>-32.5</v>
      </c>
      <c r="K3" s="36">
        <f t="shared" ref="K3:K19" si="3">(G3*I3)+J3</f>
        <v>21717.5</v>
      </c>
      <c r="L3" s="16">
        <v>22000.0</v>
      </c>
      <c r="M3" s="10">
        <f t="shared" ref="M3:M19" si="4">K3-L3</f>
        <v>-282.5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7">
        <v>1.07</v>
      </c>
      <c r="B4" s="18" t="s">
        <v>14</v>
      </c>
      <c r="C4" s="19">
        <v>8.9</v>
      </c>
      <c r="D4" s="19">
        <v>7.1</v>
      </c>
      <c r="E4" s="19">
        <v>6.65</v>
      </c>
      <c r="F4" s="19">
        <v>0.15</v>
      </c>
      <c r="G4" s="20">
        <f t="shared" si="1"/>
        <v>8.75</v>
      </c>
      <c r="H4" s="13">
        <f t="shared" si="2"/>
        <v>0.8114285714</v>
      </c>
      <c r="I4" s="37">
        <v>3000.0</v>
      </c>
      <c r="J4" s="10">
        <f>'1st Week'!M104</f>
        <v>41584</v>
      </c>
      <c r="K4" s="38">
        <f t="shared" si="3"/>
        <v>67834</v>
      </c>
      <c r="L4" s="22"/>
      <c r="M4" s="18">
        <f t="shared" si="4"/>
        <v>67834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7">
        <v>0.96</v>
      </c>
      <c r="B5" s="18" t="s">
        <v>15</v>
      </c>
      <c r="C5" s="19">
        <v>6.5</v>
      </c>
      <c r="D5" s="19">
        <v>5.3</v>
      </c>
      <c r="E5" s="19">
        <v>5.0</v>
      </c>
      <c r="F5" s="19">
        <v>0.15</v>
      </c>
      <c r="G5" s="20">
        <f t="shared" si="1"/>
        <v>6.35</v>
      </c>
      <c r="H5" s="13">
        <f t="shared" si="2"/>
        <v>0.8346456693</v>
      </c>
      <c r="I5" s="37">
        <v>3000.0</v>
      </c>
      <c r="J5" s="10">
        <f>'1st Week'!M105</f>
        <v>37153</v>
      </c>
      <c r="K5" s="38">
        <f t="shared" si="3"/>
        <v>56203</v>
      </c>
      <c r="L5" s="22"/>
      <c r="M5" s="18">
        <f t="shared" si="4"/>
        <v>56203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7">
        <v>0.865</v>
      </c>
      <c r="B6" s="18" t="s">
        <v>16</v>
      </c>
      <c r="C6" s="20"/>
      <c r="D6" s="20"/>
      <c r="E6" s="20"/>
      <c r="F6" s="20"/>
      <c r="G6" s="20">
        <f t="shared" si="1"/>
        <v>0</v>
      </c>
      <c r="H6" s="13" t="str">
        <f t="shared" si="2"/>
        <v>#DIV/0!</v>
      </c>
      <c r="I6" s="39"/>
      <c r="J6" s="10">
        <f>'1st Week'!M106</f>
        <v>720</v>
      </c>
      <c r="K6" s="38">
        <f t="shared" si="3"/>
        <v>720</v>
      </c>
      <c r="L6" s="22"/>
      <c r="M6" s="18">
        <f t="shared" si="4"/>
        <v>720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7">
        <v>0.885</v>
      </c>
      <c r="B7" s="18" t="s">
        <v>17</v>
      </c>
      <c r="C7" s="20"/>
      <c r="D7" s="20"/>
      <c r="E7" s="20"/>
      <c r="F7" s="20"/>
      <c r="G7" s="20">
        <f t="shared" si="1"/>
        <v>0</v>
      </c>
      <c r="H7" s="13" t="str">
        <f t="shared" si="2"/>
        <v>#DIV/0!</v>
      </c>
      <c r="I7" s="39"/>
      <c r="J7" s="10">
        <f>'1st Week'!M107</f>
        <v>81</v>
      </c>
      <c r="K7" s="38">
        <f t="shared" si="3"/>
        <v>81</v>
      </c>
      <c r="L7" s="22"/>
      <c r="M7" s="18">
        <f t="shared" si="4"/>
        <v>81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7"/>
      <c r="B8" s="18" t="s">
        <v>18</v>
      </c>
      <c r="C8" s="20"/>
      <c r="D8" s="20"/>
      <c r="E8" s="20"/>
      <c r="F8" s="20"/>
      <c r="G8" s="20">
        <f t="shared" si="1"/>
        <v>0</v>
      </c>
      <c r="H8" s="13" t="str">
        <f t="shared" si="2"/>
        <v>#DIV/0!</v>
      </c>
      <c r="I8" s="39"/>
      <c r="J8" s="10">
        <f>'1st Week'!M108</f>
        <v>-312</v>
      </c>
      <c r="K8" s="38">
        <f t="shared" si="3"/>
        <v>-312</v>
      </c>
      <c r="L8" s="22"/>
      <c r="M8" s="18">
        <f t="shared" si="4"/>
        <v>-312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7">
        <v>0.85</v>
      </c>
      <c r="B9" s="18" t="s">
        <v>19</v>
      </c>
      <c r="C9" s="20"/>
      <c r="D9" s="20"/>
      <c r="E9" s="20"/>
      <c r="F9" s="20"/>
      <c r="G9" s="20">
        <f t="shared" si="1"/>
        <v>0</v>
      </c>
      <c r="H9" s="13" t="str">
        <f t="shared" si="2"/>
        <v>#DIV/0!</v>
      </c>
      <c r="I9" s="39"/>
      <c r="J9" s="10">
        <f>'1st Week'!M109</f>
        <v>360</v>
      </c>
      <c r="K9" s="38">
        <f t="shared" si="3"/>
        <v>360</v>
      </c>
      <c r="L9" s="22"/>
      <c r="M9" s="18">
        <f t="shared" si="4"/>
        <v>360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7">
        <v>0.93</v>
      </c>
      <c r="B10" s="18" t="s">
        <v>20</v>
      </c>
      <c r="C10" s="20"/>
      <c r="D10" s="20"/>
      <c r="E10" s="20"/>
      <c r="F10" s="20"/>
      <c r="G10" s="20">
        <f t="shared" si="1"/>
        <v>0</v>
      </c>
      <c r="H10" s="13" t="str">
        <f t="shared" si="2"/>
        <v>#DIV/0!</v>
      </c>
      <c r="I10" s="39"/>
      <c r="J10" s="10">
        <f>'1st Week'!M110</f>
        <v>-275</v>
      </c>
      <c r="K10" s="38">
        <f t="shared" si="3"/>
        <v>-275</v>
      </c>
      <c r="L10" s="22"/>
      <c r="M10" s="18">
        <f t="shared" si="4"/>
        <v>-275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7">
        <v>0.96</v>
      </c>
      <c r="B11" s="18" t="s">
        <v>21</v>
      </c>
      <c r="C11" s="19">
        <v>5.6</v>
      </c>
      <c r="D11" s="19">
        <v>4.5</v>
      </c>
      <c r="E11" s="19">
        <v>4.02</v>
      </c>
      <c r="F11" s="19">
        <v>0.15</v>
      </c>
      <c r="G11" s="20">
        <f t="shared" si="1"/>
        <v>5.45</v>
      </c>
      <c r="H11" s="13">
        <f t="shared" si="2"/>
        <v>0.8256880734</v>
      </c>
      <c r="I11" s="37">
        <v>3000.0</v>
      </c>
      <c r="J11" s="10">
        <f>'1st Week'!M111</f>
        <v>17257</v>
      </c>
      <c r="K11" s="38">
        <f t="shared" si="3"/>
        <v>33607</v>
      </c>
      <c r="L11" s="23">
        <v>34000.0</v>
      </c>
      <c r="M11" s="18">
        <f t="shared" si="4"/>
        <v>-393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7">
        <v>0.815</v>
      </c>
      <c r="B12" s="18" t="s">
        <v>22</v>
      </c>
      <c r="C12" s="20"/>
      <c r="D12" s="20"/>
      <c r="E12" s="20"/>
      <c r="F12" s="20"/>
      <c r="G12" s="20">
        <f t="shared" si="1"/>
        <v>0</v>
      </c>
      <c r="H12" s="13" t="str">
        <f t="shared" si="2"/>
        <v>#DIV/0!</v>
      </c>
      <c r="I12" s="39"/>
      <c r="J12" s="10">
        <f>'1st Week'!M112</f>
        <v>649</v>
      </c>
      <c r="K12" s="38">
        <f t="shared" si="3"/>
        <v>649</v>
      </c>
      <c r="L12" s="22"/>
      <c r="M12" s="18">
        <f t="shared" si="4"/>
        <v>649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7"/>
      <c r="B13" s="18"/>
      <c r="C13" s="20"/>
      <c r="D13" s="20"/>
      <c r="E13" s="20"/>
      <c r="F13" s="20"/>
      <c r="G13" s="20">
        <f t="shared" si="1"/>
        <v>0</v>
      </c>
      <c r="H13" s="13" t="str">
        <f t="shared" si="2"/>
        <v>#DIV/0!</v>
      </c>
      <c r="I13" s="39"/>
      <c r="J13" s="10">
        <f>'1st Week'!M113</f>
        <v>0</v>
      </c>
      <c r="K13" s="38">
        <f t="shared" si="3"/>
        <v>0</v>
      </c>
      <c r="L13" s="22"/>
      <c r="M13" s="18">
        <f t="shared" si="4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7"/>
      <c r="B14" s="18"/>
      <c r="C14" s="20"/>
      <c r="D14" s="20"/>
      <c r="E14" s="20"/>
      <c r="F14" s="20"/>
      <c r="G14" s="20">
        <f t="shared" si="1"/>
        <v>0</v>
      </c>
      <c r="H14" s="13" t="str">
        <f t="shared" si="2"/>
        <v>#DIV/0!</v>
      </c>
      <c r="I14" s="39"/>
      <c r="J14" s="10">
        <f>'1st Week'!M114</f>
        <v>0</v>
      </c>
      <c r="K14" s="38">
        <f t="shared" si="3"/>
        <v>0</v>
      </c>
      <c r="L14" s="22"/>
      <c r="M14" s="18">
        <f t="shared" si="4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7"/>
      <c r="B15" s="18"/>
      <c r="C15" s="20"/>
      <c r="D15" s="20"/>
      <c r="E15" s="20"/>
      <c r="F15" s="20"/>
      <c r="G15" s="20">
        <f t="shared" si="1"/>
        <v>0</v>
      </c>
      <c r="H15" s="13" t="str">
        <f t="shared" si="2"/>
        <v>#DIV/0!</v>
      </c>
      <c r="I15" s="39"/>
      <c r="J15" s="10">
        <f>'1st Week'!M115</f>
        <v>0</v>
      </c>
      <c r="K15" s="38">
        <f t="shared" si="3"/>
        <v>0</v>
      </c>
      <c r="L15" s="22"/>
      <c r="M15" s="18">
        <f t="shared" si="4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7"/>
      <c r="B16" s="18"/>
      <c r="C16" s="20"/>
      <c r="D16" s="20"/>
      <c r="E16" s="20"/>
      <c r="F16" s="20"/>
      <c r="G16" s="20">
        <f t="shared" si="1"/>
        <v>0</v>
      </c>
      <c r="H16" s="13" t="str">
        <f t="shared" si="2"/>
        <v>#DIV/0!</v>
      </c>
      <c r="I16" s="39"/>
      <c r="J16" s="10">
        <f>'1st Week'!M116</f>
        <v>0</v>
      </c>
      <c r="K16" s="38">
        <f t="shared" si="3"/>
        <v>0</v>
      </c>
      <c r="L16" s="22"/>
      <c r="M16" s="18">
        <f t="shared" si="4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7"/>
      <c r="B17" s="25"/>
      <c r="C17" s="20"/>
      <c r="D17" s="20"/>
      <c r="E17" s="20"/>
      <c r="F17" s="20"/>
      <c r="G17" s="20">
        <f t="shared" si="1"/>
        <v>0</v>
      </c>
      <c r="H17" s="13" t="str">
        <f t="shared" si="2"/>
        <v>#DIV/0!</v>
      </c>
      <c r="I17" s="39"/>
      <c r="J17" s="10">
        <f>'1st Week'!M117</f>
        <v>0</v>
      </c>
      <c r="K17" s="38">
        <f t="shared" si="3"/>
        <v>0</v>
      </c>
      <c r="L17" s="22"/>
      <c r="M17" s="18">
        <f t="shared" si="4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7"/>
      <c r="B18" s="25" t="s">
        <v>23</v>
      </c>
      <c r="C18" s="20"/>
      <c r="D18" s="20"/>
      <c r="E18" s="20"/>
      <c r="F18" s="20"/>
      <c r="G18" s="20">
        <f t="shared" si="1"/>
        <v>0</v>
      </c>
      <c r="H18" s="13" t="str">
        <f t="shared" si="2"/>
        <v>#DIV/0!</v>
      </c>
      <c r="I18" s="39"/>
      <c r="J18" s="10">
        <f>'1st Week'!M118</f>
        <v>218950</v>
      </c>
      <c r="K18" s="38">
        <f t="shared" si="3"/>
        <v>218950</v>
      </c>
      <c r="L18" s="23">
        <v>218000.0</v>
      </c>
      <c r="M18" s="18">
        <f t="shared" si="4"/>
        <v>950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6" t="s">
        <v>24</v>
      </c>
      <c r="B19" s="27"/>
      <c r="C19" s="28"/>
      <c r="D19" s="28"/>
      <c r="E19" s="28"/>
      <c r="F19" s="28"/>
      <c r="G19" s="28">
        <f t="shared" si="1"/>
        <v>0</v>
      </c>
      <c r="H19" s="40" t="str">
        <f t="shared" si="2"/>
        <v>#DIV/0!</v>
      </c>
      <c r="I19" s="39"/>
      <c r="J19" s="10">
        <f>'1st Week'!M119</f>
        <v>0</v>
      </c>
      <c r="K19" s="38">
        <f t="shared" si="3"/>
        <v>0</v>
      </c>
      <c r="L19" s="29"/>
      <c r="M19" s="25">
        <f t="shared" si="4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5"/>
      <c r="B20" s="25"/>
      <c r="C20" s="25"/>
      <c r="D20" s="25" t="s">
        <v>25</v>
      </c>
      <c r="E20" s="28">
        <f>SUM(E3:E19)</f>
        <v>21.02</v>
      </c>
      <c r="F20" s="25"/>
      <c r="G20" s="25"/>
      <c r="H20" s="25"/>
      <c r="I20" s="25"/>
      <c r="J20" s="5"/>
      <c r="K20" s="30" t="s">
        <v>26</v>
      </c>
      <c r="L20" s="30">
        <f>SUM(L3:L19)</f>
        <v>274000</v>
      </c>
      <c r="M20" s="2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" t="s">
        <v>0</v>
      </c>
      <c r="B21" s="2">
        <v>46211.0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"/>
      <c r="B22" s="7" t="s">
        <v>1</v>
      </c>
      <c r="C22" s="7" t="s">
        <v>2</v>
      </c>
      <c r="D22" s="7" t="s">
        <v>3</v>
      </c>
      <c r="E22" s="7" t="s">
        <v>4</v>
      </c>
      <c r="F22" s="7" t="s">
        <v>5</v>
      </c>
      <c r="G22" s="7" t="s">
        <v>6</v>
      </c>
      <c r="H22" s="7" t="s">
        <v>7</v>
      </c>
      <c r="I22" s="7" t="s">
        <v>8</v>
      </c>
      <c r="J22" s="7" t="s">
        <v>9</v>
      </c>
      <c r="K22" s="7" t="s">
        <v>10</v>
      </c>
      <c r="L22" s="7" t="s">
        <v>11</v>
      </c>
      <c r="M22" s="8" t="s">
        <v>12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9"/>
      <c r="B23" s="10" t="s">
        <v>13</v>
      </c>
      <c r="C23" s="11">
        <v>7.25</v>
      </c>
      <c r="D23" s="11">
        <v>5.8</v>
      </c>
      <c r="E23" s="11">
        <v>5.35</v>
      </c>
      <c r="F23" s="11">
        <v>0.1</v>
      </c>
      <c r="G23" s="12">
        <f t="shared" ref="G23:G39" si="5">C23-F23</f>
        <v>7.15</v>
      </c>
      <c r="H23" s="13">
        <f t="shared" ref="H23:H39" si="6">D23/G23</f>
        <v>0.8111888112</v>
      </c>
      <c r="I23" s="35">
        <v>3000.0</v>
      </c>
      <c r="J23" s="10">
        <f t="shared" ref="J23:J39" si="7">M3</f>
        <v>-282.5</v>
      </c>
      <c r="K23" s="36">
        <f t="shared" ref="K23:K39" si="8">(G23*I23)+J23</f>
        <v>21167.5</v>
      </c>
      <c r="L23" s="16">
        <v>21000.0</v>
      </c>
      <c r="M23" s="10">
        <f t="shared" ref="M23:M39" si="9">K23-L23</f>
        <v>167.5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7">
        <v>1.07</v>
      </c>
      <c r="B24" s="18" t="s">
        <v>14</v>
      </c>
      <c r="C24" s="19">
        <v>6.7</v>
      </c>
      <c r="D24" s="19">
        <v>5.45</v>
      </c>
      <c r="E24" s="19">
        <v>5.04</v>
      </c>
      <c r="F24" s="19">
        <v>0.15</v>
      </c>
      <c r="G24" s="20">
        <f t="shared" si="5"/>
        <v>6.55</v>
      </c>
      <c r="H24" s="13">
        <f t="shared" si="6"/>
        <v>0.8320610687</v>
      </c>
      <c r="I24" s="39"/>
      <c r="J24" s="10">
        <f t="shared" si="7"/>
        <v>67834</v>
      </c>
      <c r="K24" s="38">
        <f t="shared" si="8"/>
        <v>67834</v>
      </c>
      <c r="L24" s="22"/>
      <c r="M24" s="18">
        <f t="shared" si="9"/>
        <v>67834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7">
        <v>0.96</v>
      </c>
      <c r="B25" s="18" t="s">
        <v>15</v>
      </c>
      <c r="C25" s="19">
        <v>6.5</v>
      </c>
      <c r="D25" s="19">
        <v>5.35</v>
      </c>
      <c r="E25" s="19">
        <v>4.9</v>
      </c>
      <c r="F25" s="19">
        <v>0.15</v>
      </c>
      <c r="G25" s="20">
        <f t="shared" si="5"/>
        <v>6.35</v>
      </c>
      <c r="H25" s="13">
        <f t="shared" si="6"/>
        <v>0.842519685</v>
      </c>
      <c r="I25" s="39"/>
      <c r="J25" s="10">
        <f t="shared" si="7"/>
        <v>56203</v>
      </c>
      <c r="K25" s="38">
        <f t="shared" si="8"/>
        <v>56203</v>
      </c>
      <c r="L25" s="22"/>
      <c r="M25" s="18">
        <f t="shared" si="9"/>
        <v>56203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7">
        <v>0.865</v>
      </c>
      <c r="B26" s="18" t="s">
        <v>16</v>
      </c>
      <c r="C26" s="20"/>
      <c r="D26" s="20"/>
      <c r="E26" s="20"/>
      <c r="F26" s="20"/>
      <c r="G26" s="20">
        <f t="shared" si="5"/>
        <v>0</v>
      </c>
      <c r="H26" s="13" t="str">
        <f t="shared" si="6"/>
        <v>#DIV/0!</v>
      </c>
      <c r="I26" s="39"/>
      <c r="J26" s="10">
        <f t="shared" si="7"/>
        <v>720</v>
      </c>
      <c r="K26" s="38">
        <f t="shared" si="8"/>
        <v>720</v>
      </c>
      <c r="L26" s="22"/>
      <c r="M26" s="18">
        <f t="shared" si="9"/>
        <v>720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7">
        <v>0.885</v>
      </c>
      <c r="B27" s="18" t="s">
        <v>17</v>
      </c>
      <c r="C27" s="20"/>
      <c r="D27" s="20"/>
      <c r="E27" s="20"/>
      <c r="F27" s="20"/>
      <c r="G27" s="20">
        <f t="shared" si="5"/>
        <v>0</v>
      </c>
      <c r="H27" s="13" t="str">
        <f t="shared" si="6"/>
        <v>#DIV/0!</v>
      </c>
      <c r="I27" s="39"/>
      <c r="J27" s="10">
        <f t="shared" si="7"/>
        <v>81</v>
      </c>
      <c r="K27" s="38">
        <f t="shared" si="8"/>
        <v>81</v>
      </c>
      <c r="L27" s="22"/>
      <c r="M27" s="18">
        <f t="shared" si="9"/>
        <v>81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7"/>
      <c r="B28" s="18" t="s">
        <v>18</v>
      </c>
      <c r="C28" s="19">
        <v>18.0</v>
      </c>
      <c r="D28" s="19">
        <v>13.64</v>
      </c>
      <c r="E28" s="19">
        <v>12.44</v>
      </c>
      <c r="F28" s="19">
        <v>0.34</v>
      </c>
      <c r="G28" s="20">
        <f t="shared" si="5"/>
        <v>17.66</v>
      </c>
      <c r="H28" s="13">
        <f t="shared" si="6"/>
        <v>0.7723669309</v>
      </c>
      <c r="I28" s="37">
        <v>3000.0</v>
      </c>
      <c r="J28" s="10">
        <f t="shared" si="7"/>
        <v>-312</v>
      </c>
      <c r="K28" s="38">
        <f t="shared" si="8"/>
        <v>52668</v>
      </c>
      <c r="L28" s="23">
        <v>52000.0</v>
      </c>
      <c r="M28" s="18">
        <f t="shared" si="9"/>
        <v>668</v>
      </c>
      <c r="N28" s="24">
        <v>20.0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7">
        <v>0.85</v>
      </c>
      <c r="B29" s="18" t="s">
        <v>19</v>
      </c>
      <c r="C29" s="20"/>
      <c r="D29" s="20"/>
      <c r="E29" s="20"/>
      <c r="F29" s="20"/>
      <c r="G29" s="20">
        <f t="shared" si="5"/>
        <v>0</v>
      </c>
      <c r="H29" s="13" t="str">
        <f t="shared" si="6"/>
        <v>#DIV/0!</v>
      </c>
      <c r="I29" s="39"/>
      <c r="J29" s="10">
        <f t="shared" si="7"/>
        <v>360</v>
      </c>
      <c r="K29" s="38">
        <f t="shared" si="8"/>
        <v>360</v>
      </c>
      <c r="L29" s="22"/>
      <c r="M29" s="18">
        <f t="shared" si="9"/>
        <v>360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7">
        <v>0.93</v>
      </c>
      <c r="B30" s="18" t="s">
        <v>20</v>
      </c>
      <c r="C30" s="20"/>
      <c r="D30" s="20"/>
      <c r="E30" s="20"/>
      <c r="F30" s="20"/>
      <c r="G30" s="20">
        <f t="shared" si="5"/>
        <v>0</v>
      </c>
      <c r="H30" s="13" t="str">
        <f t="shared" si="6"/>
        <v>#DIV/0!</v>
      </c>
      <c r="I30" s="39"/>
      <c r="J30" s="10">
        <f t="shared" si="7"/>
        <v>-275</v>
      </c>
      <c r="K30" s="38">
        <f t="shared" si="8"/>
        <v>-275</v>
      </c>
      <c r="L30" s="22"/>
      <c r="M30" s="18">
        <f t="shared" si="9"/>
        <v>-275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7">
        <v>0.96</v>
      </c>
      <c r="B31" s="18" t="s">
        <v>21</v>
      </c>
      <c r="C31" s="19">
        <v>6.0</v>
      </c>
      <c r="D31" s="19">
        <v>4.9</v>
      </c>
      <c r="E31" s="19">
        <v>4.5</v>
      </c>
      <c r="F31" s="19">
        <v>0.15</v>
      </c>
      <c r="G31" s="20">
        <f t="shared" si="5"/>
        <v>5.85</v>
      </c>
      <c r="H31" s="13">
        <f t="shared" si="6"/>
        <v>0.8376068376</v>
      </c>
      <c r="I31" s="37">
        <v>3000.0</v>
      </c>
      <c r="J31" s="10">
        <f t="shared" si="7"/>
        <v>-393</v>
      </c>
      <c r="K31" s="38">
        <f t="shared" si="8"/>
        <v>17157</v>
      </c>
      <c r="L31" s="23">
        <v>17000.0</v>
      </c>
      <c r="M31" s="18">
        <f t="shared" si="9"/>
        <v>157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7">
        <v>0.815</v>
      </c>
      <c r="B32" s="18" t="s">
        <v>22</v>
      </c>
      <c r="C32" s="20"/>
      <c r="D32" s="20"/>
      <c r="E32" s="20"/>
      <c r="F32" s="20"/>
      <c r="G32" s="20">
        <f t="shared" si="5"/>
        <v>0</v>
      </c>
      <c r="H32" s="13" t="str">
        <f t="shared" si="6"/>
        <v>#DIV/0!</v>
      </c>
      <c r="I32" s="39"/>
      <c r="J32" s="10">
        <f t="shared" si="7"/>
        <v>649</v>
      </c>
      <c r="K32" s="38">
        <f t="shared" si="8"/>
        <v>649</v>
      </c>
      <c r="L32" s="22"/>
      <c r="M32" s="18">
        <f t="shared" si="9"/>
        <v>649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7"/>
      <c r="B33" s="18"/>
      <c r="C33" s="20"/>
      <c r="D33" s="20"/>
      <c r="E33" s="20"/>
      <c r="F33" s="20"/>
      <c r="G33" s="20">
        <f t="shared" si="5"/>
        <v>0</v>
      </c>
      <c r="H33" s="13" t="str">
        <f t="shared" si="6"/>
        <v>#DIV/0!</v>
      </c>
      <c r="I33" s="39"/>
      <c r="J33" s="10">
        <f t="shared" si="7"/>
        <v>0</v>
      </c>
      <c r="K33" s="38">
        <f t="shared" si="8"/>
        <v>0</v>
      </c>
      <c r="L33" s="22"/>
      <c r="M33" s="18">
        <f t="shared" si="9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7"/>
      <c r="B34" s="18"/>
      <c r="C34" s="20"/>
      <c r="D34" s="20"/>
      <c r="E34" s="20"/>
      <c r="F34" s="20"/>
      <c r="G34" s="20">
        <f t="shared" si="5"/>
        <v>0</v>
      </c>
      <c r="H34" s="13" t="str">
        <f t="shared" si="6"/>
        <v>#DIV/0!</v>
      </c>
      <c r="I34" s="39"/>
      <c r="J34" s="10">
        <f t="shared" si="7"/>
        <v>0</v>
      </c>
      <c r="K34" s="38">
        <f t="shared" si="8"/>
        <v>0</v>
      </c>
      <c r="L34" s="22"/>
      <c r="M34" s="18">
        <f t="shared" si="9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7"/>
      <c r="B35" s="18"/>
      <c r="C35" s="20"/>
      <c r="D35" s="20"/>
      <c r="E35" s="20"/>
      <c r="F35" s="20"/>
      <c r="G35" s="20">
        <f t="shared" si="5"/>
        <v>0</v>
      </c>
      <c r="H35" s="13" t="str">
        <f t="shared" si="6"/>
        <v>#DIV/0!</v>
      </c>
      <c r="I35" s="39"/>
      <c r="J35" s="10">
        <f t="shared" si="7"/>
        <v>0</v>
      </c>
      <c r="K35" s="38">
        <f t="shared" si="8"/>
        <v>0</v>
      </c>
      <c r="L35" s="22"/>
      <c r="M35" s="18">
        <f t="shared" si="9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7"/>
      <c r="B36" s="18"/>
      <c r="C36" s="20"/>
      <c r="D36" s="20"/>
      <c r="E36" s="20"/>
      <c r="F36" s="20"/>
      <c r="G36" s="20">
        <f t="shared" si="5"/>
        <v>0</v>
      </c>
      <c r="H36" s="13" t="str">
        <f t="shared" si="6"/>
        <v>#DIV/0!</v>
      </c>
      <c r="I36" s="39"/>
      <c r="J36" s="10">
        <f t="shared" si="7"/>
        <v>0</v>
      </c>
      <c r="K36" s="38">
        <f t="shared" si="8"/>
        <v>0</v>
      </c>
      <c r="L36" s="22"/>
      <c r="M36" s="18">
        <f t="shared" si="9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7"/>
      <c r="B37" s="25"/>
      <c r="C37" s="20"/>
      <c r="D37" s="20"/>
      <c r="E37" s="20"/>
      <c r="F37" s="20"/>
      <c r="G37" s="20">
        <f t="shared" si="5"/>
        <v>0</v>
      </c>
      <c r="H37" s="13" t="str">
        <f t="shared" si="6"/>
        <v>#DIV/0!</v>
      </c>
      <c r="I37" s="39"/>
      <c r="J37" s="10">
        <f t="shared" si="7"/>
        <v>0</v>
      </c>
      <c r="K37" s="38">
        <f t="shared" si="8"/>
        <v>0</v>
      </c>
      <c r="L37" s="22"/>
      <c r="M37" s="18">
        <f t="shared" si="9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7"/>
      <c r="B38" s="25" t="s">
        <v>23</v>
      </c>
      <c r="C38" s="19">
        <v>27.0</v>
      </c>
      <c r="D38" s="19">
        <v>21.7</v>
      </c>
      <c r="E38" s="19">
        <v>19.5</v>
      </c>
      <c r="F38" s="19">
        <v>0.45</v>
      </c>
      <c r="G38" s="20">
        <f t="shared" si="5"/>
        <v>26.55</v>
      </c>
      <c r="H38" s="13">
        <f t="shared" si="6"/>
        <v>0.8173258004</v>
      </c>
      <c r="I38" s="37">
        <v>3000.0</v>
      </c>
      <c r="J38" s="10">
        <f t="shared" si="7"/>
        <v>950</v>
      </c>
      <c r="K38" s="38">
        <f t="shared" si="8"/>
        <v>80600</v>
      </c>
      <c r="L38" s="22"/>
      <c r="M38" s="18">
        <f t="shared" si="9"/>
        <v>80600</v>
      </c>
      <c r="N38" s="24">
        <v>27.0</v>
      </c>
      <c r="O38" s="24" t="s">
        <v>29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26" t="s">
        <v>24</v>
      </c>
      <c r="B39" s="27"/>
      <c r="C39" s="28"/>
      <c r="D39" s="28"/>
      <c r="E39" s="28"/>
      <c r="F39" s="28"/>
      <c r="G39" s="28">
        <f t="shared" si="5"/>
        <v>0</v>
      </c>
      <c r="H39" s="40" t="str">
        <f t="shared" si="6"/>
        <v>#DIV/0!</v>
      </c>
      <c r="I39" s="39"/>
      <c r="J39" s="10">
        <f t="shared" si="7"/>
        <v>0</v>
      </c>
      <c r="K39" s="38">
        <f t="shared" si="8"/>
        <v>0</v>
      </c>
      <c r="L39" s="29"/>
      <c r="M39" s="25">
        <f t="shared" si="9"/>
        <v>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25"/>
      <c r="B40" s="25"/>
      <c r="C40" s="25"/>
      <c r="D40" s="25" t="s">
        <v>25</v>
      </c>
      <c r="E40" s="28">
        <f>SUM(E23:E39)</f>
        <v>51.73</v>
      </c>
      <c r="F40" s="25"/>
      <c r="G40" s="25"/>
      <c r="H40" s="25"/>
      <c r="I40" s="25"/>
      <c r="J40" s="5"/>
      <c r="K40" s="30" t="s">
        <v>26</v>
      </c>
      <c r="L40" s="30">
        <f>SUM(L23:L39)</f>
        <v>90000</v>
      </c>
      <c r="M40" s="2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 t="s">
        <v>0</v>
      </c>
      <c r="B41" s="2">
        <v>46212.0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/>
      <c r="B42" s="7" t="s">
        <v>1</v>
      </c>
      <c r="C42" s="7" t="s">
        <v>2</v>
      </c>
      <c r="D42" s="7" t="s">
        <v>3</v>
      </c>
      <c r="E42" s="7" t="s">
        <v>4</v>
      </c>
      <c r="F42" s="7" t="s">
        <v>5</v>
      </c>
      <c r="G42" s="7" t="s">
        <v>6</v>
      </c>
      <c r="H42" s="7" t="s">
        <v>7</v>
      </c>
      <c r="I42" s="7" t="s">
        <v>8</v>
      </c>
      <c r="J42" s="7" t="s">
        <v>9</v>
      </c>
      <c r="K42" s="7" t="s">
        <v>10</v>
      </c>
      <c r="L42" s="7" t="s">
        <v>11</v>
      </c>
      <c r="M42" s="8" t="s">
        <v>12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9"/>
      <c r="B43" s="10" t="s">
        <v>13</v>
      </c>
      <c r="C43" s="11">
        <v>7.55</v>
      </c>
      <c r="D43" s="11">
        <v>6.05</v>
      </c>
      <c r="E43" s="11">
        <v>5.5</v>
      </c>
      <c r="F43" s="11">
        <v>0.15</v>
      </c>
      <c r="G43" s="12">
        <f t="shared" ref="G43:G59" si="10">C43-F43</f>
        <v>7.4</v>
      </c>
      <c r="H43" s="13">
        <f t="shared" ref="H43:H59" si="11">D43/G43</f>
        <v>0.8175675676</v>
      </c>
      <c r="I43" s="35">
        <v>3000.0</v>
      </c>
      <c r="J43" s="10">
        <f t="shared" ref="J43:J59" si="12">M23</f>
        <v>167.5</v>
      </c>
      <c r="K43" s="36">
        <f t="shared" ref="K43:K59" si="13">(G43*I43)+J43</f>
        <v>22367.5</v>
      </c>
      <c r="L43" s="16">
        <v>22000.0</v>
      </c>
      <c r="M43" s="10">
        <f t="shared" ref="M43:M59" si="14">K43-L43</f>
        <v>367.5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7">
        <v>1.07</v>
      </c>
      <c r="B44" s="18" t="s">
        <v>14</v>
      </c>
      <c r="C44" s="19">
        <v>6.1</v>
      </c>
      <c r="D44" s="19">
        <v>5.04</v>
      </c>
      <c r="E44" s="19">
        <v>4.52</v>
      </c>
      <c r="F44" s="19">
        <v>0.15</v>
      </c>
      <c r="G44" s="20">
        <f t="shared" si="10"/>
        <v>5.95</v>
      </c>
      <c r="H44" s="13">
        <f t="shared" si="11"/>
        <v>0.8470588235</v>
      </c>
      <c r="I44" s="37">
        <v>3000.0</v>
      </c>
      <c r="J44" s="10">
        <f t="shared" si="12"/>
        <v>67834</v>
      </c>
      <c r="K44" s="38">
        <f t="shared" si="13"/>
        <v>85684</v>
      </c>
      <c r="L44" s="22"/>
      <c r="M44" s="18">
        <f t="shared" si="14"/>
        <v>85684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7">
        <v>0.96</v>
      </c>
      <c r="B45" s="18" t="s">
        <v>15</v>
      </c>
      <c r="C45" s="19">
        <v>5.5</v>
      </c>
      <c r="D45" s="19">
        <v>4.5</v>
      </c>
      <c r="E45" s="19">
        <v>4.02</v>
      </c>
      <c r="F45" s="19">
        <v>0.15</v>
      </c>
      <c r="G45" s="20">
        <f t="shared" si="10"/>
        <v>5.35</v>
      </c>
      <c r="H45" s="13">
        <f t="shared" si="11"/>
        <v>0.8411214953</v>
      </c>
      <c r="I45" s="37">
        <v>3000.0</v>
      </c>
      <c r="J45" s="10">
        <f t="shared" si="12"/>
        <v>56203</v>
      </c>
      <c r="K45" s="38">
        <f t="shared" si="13"/>
        <v>72253</v>
      </c>
      <c r="L45" s="22"/>
      <c r="M45" s="18">
        <f t="shared" si="14"/>
        <v>72253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7">
        <v>0.865</v>
      </c>
      <c r="B46" s="18" t="s">
        <v>16</v>
      </c>
      <c r="C46" s="20"/>
      <c r="D46" s="20"/>
      <c r="E46" s="20"/>
      <c r="F46" s="20"/>
      <c r="G46" s="20">
        <f t="shared" si="10"/>
        <v>0</v>
      </c>
      <c r="H46" s="13" t="str">
        <f t="shared" si="11"/>
        <v>#DIV/0!</v>
      </c>
      <c r="I46" s="39"/>
      <c r="J46" s="10">
        <f t="shared" si="12"/>
        <v>720</v>
      </c>
      <c r="K46" s="38">
        <f t="shared" si="13"/>
        <v>720</v>
      </c>
      <c r="L46" s="22"/>
      <c r="M46" s="18">
        <f t="shared" si="14"/>
        <v>720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7">
        <v>0.885</v>
      </c>
      <c r="B47" s="18" t="s">
        <v>17</v>
      </c>
      <c r="C47" s="20"/>
      <c r="D47" s="20"/>
      <c r="E47" s="20"/>
      <c r="F47" s="20"/>
      <c r="G47" s="20">
        <f t="shared" si="10"/>
        <v>0</v>
      </c>
      <c r="H47" s="13" t="str">
        <f t="shared" si="11"/>
        <v>#DIV/0!</v>
      </c>
      <c r="I47" s="39"/>
      <c r="J47" s="10">
        <f t="shared" si="12"/>
        <v>81</v>
      </c>
      <c r="K47" s="38">
        <f t="shared" si="13"/>
        <v>81</v>
      </c>
      <c r="L47" s="22"/>
      <c r="M47" s="18">
        <f t="shared" si="14"/>
        <v>81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7"/>
      <c r="B48" s="18" t="s">
        <v>18</v>
      </c>
      <c r="C48" s="20"/>
      <c r="D48" s="20"/>
      <c r="E48" s="20"/>
      <c r="F48" s="20"/>
      <c r="G48" s="20">
        <f t="shared" si="10"/>
        <v>0</v>
      </c>
      <c r="H48" s="13" t="str">
        <f t="shared" si="11"/>
        <v>#DIV/0!</v>
      </c>
      <c r="I48" s="39"/>
      <c r="J48" s="10">
        <f t="shared" si="12"/>
        <v>668</v>
      </c>
      <c r="K48" s="38">
        <f t="shared" si="13"/>
        <v>668</v>
      </c>
      <c r="L48" s="22"/>
      <c r="M48" s="18">
        <f t="shared" si="14"/>
        <v>668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7">
        <v>0.85</v>
      </c>
      <c r="B49" s="18" t="s">
        <v>19</v>
      </c>
      <c r="C49" s="20"/>
      <c r="D49" s="20"/>
      <c r="E49" s="20"/>
      <c r="F49" s="20"/>
      <c r="G49" s="20">
        <f t="shared" si="10"/>
        <v>0</v>
      </c>
      <c r="H49" s="13" t="str">
        <f t="shared" si="11"/>
        <v>#DIV/0!</v>
      </c>
      <c r="I49" s="39"/>
      <c r="J49" s="10">
        <f t="shared" si="12"/>
        <v>360</v>
      </c>
      <c r="K49" s="38">
        <f t="shared" si="13"/>
        <v>360</v>
      </c>
      <c r="L49" s="22"/>
      <c r="M49" s="18">
        <f t="shared" si="14"/>
        <v>360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7">
        <v>0.93</v>
      </c>
      <c r="B50" s="18" t="s">
        <v>20</v>
      </c>
      <c r="C50" s="20"/>
      <c r="D50" s="20"/>
      <c r="E50" s="20"/>
      <c r="F50" s="20"/>
      <c r="G50" s="20">
        <f t="shared" si="10"/>
        <v>0</v>
      </c>
      <c r="H50" s="13" t="str">
        <f t="shared" si="11"/>
        <v>#DIV/0!</v>
      </c>
      <c r="I50" s="39"/>
      <c r="J50" s="10">
        <f t="shared" si="12"/>
        <v>-275</v>
      </c>
      <c r="K50" s="38">
        <f t="shared" si="13"/>
        <v>-275</v>
      </c>
      <c r="L50" s="22"/>
      <c r="M50" s="18">
        <f t="shared" si="14"/>
        <v>-275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7">
        <v>0.96</v>
      </c>
      <c r="B51" s="18" t="s">
        <v>21</v>
      </c>
      <c r="C51" s="19">
        <v>6.1</v>
      </c>
      <c r="D51" s="19">
        <v>4.95</v>
      </c>
      <c r="E51" s="19">
        <v>4.45</v>
      </c>
      <c r="F51" s="19">
        <v>0.15</v>
      </c>
      <c r="G51" s="20">
        <f t="shared" si="10"/>
        <v>5.95</v>
      </c>
      <c r="H51" s="13">
        <f t="shared" si="11"/>
        <v>0.8319327731</v>
      </c>
      <c r="I51" s="37">
        <v>3000.0</v>
      </c>
      <c r="J51" s="10">
        <f t="shared" si="12"/>
        <v>157</v>
      </c>
      <c r="K51" s="38">
        <f t="shared" si="13"/>
        <v>18007</v>
      </c>
      <c r="L51" s="23">
        <v>18000.0</v>
      </c>
      <c r="M51" s="18">
        <f t="shared" si="14"/>
        <v>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7">
        <v>0.815</v>
      </c>
      <c r="B52" s="18" t="s">
        <v>22</v>
      </c>
      <c r="C52" s="20"/>
      <c r="D52" s="20"/>
      <c r="E52" s="20"/>
      <c r="F52" s="20"/>
      <c r="G52" s="20">
        <f t="shared" si="10"/>
        <v>0</v>
      </c>
      <c r="H52" s="13" t="str">
        <f t="shared" si="11"/>
        <v>#DIV/0!</v>
      </c>
      <c r="I52" s="39"/>
      <c r="J52" s="10">
        <f t="shared" si="12"/>
        <v>649</v>
      </c>
      <c r="K52" s="38">
        <f t="shared" si="13"/>
        <v>649</v>
      </c>
      <c r="L52" s="22"/>
      <c r="M52" s="18">
        <f t="shared" si="14"/>
        <v>649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7"/>
      <c r="B53" s="18"/>
      <c r="C53" s="20"/>
      <c r="D53" s="20"/>
      <c r="E53" s="20"/>
      <c r="F53" s="20"/>
      <c r="G53" s="20">
        <f t="shared" si="10"/>
        <v>0</v>
      </c>
      <c r="H53" s="13" t="str">
        <f t="shared" si="11"/>
        <v>#DIV/0!</v>
      </c>
      <c r="I53" s="39"/>
      <c r="J53" s="10">
        <f t="shared" si="12"/>
        <v>0</v>
      </c>
      <c r="K53" s="38">
        <f t="shared" si="13"/>
        <v>0</v>
      </c>
      <c r="L53" s="22"/>
      <c r="M53" s="18">
        <f t="shared" si="14"/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7"/>
      <c r="B54" s="18"/>
      <c r="C54" s="20"/>
      <c r="D54" s="20"/>
      <c r="E54" s="20"/>
      <c r="F54" s="20"/>
      <c r="G54" s="20">
        <f t="shared" si="10"/>
        <v>0</v>
      </c>
      <c r="H54" s="13" t="str">
        <f t="shared" si="11"/>
        <v>#DIV/0!</v>
      </c>
      <c r="I54" s="39"/>
      <c r="J54" s="10">
        <f t="shared" si="12"/>
        <v>0</v>
      </c>
      <c r="K54" s="38">
        <f t="shared" si="13"/>
        <v>0</v>
      </c>
      <c r="L54" s="22"/>
      <c r="M54" s="18">
        <f t="shared" si="14"/>
        <v>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7"/>
      <c r="B55" s="18"/>
      <c r="C55" s="20"/>
      <c r="D55" s="20"/>
      <c r="E55" s="20"/>
      <c r="F55" s="20"/>
      <c r="G55" s="20">
        <f t="shared" si="10"/>
        <v>0</v>
      </c>
      <c r="H55" s="13" t="str">
        <f t="shared" si="11"/>
        <v>#DIV/0!</v>
      </c>
      <c r="I55" s="39"/>
      <c r="J55" s="10">
        <f t="shared" si="12"/>
        <v>0</v>
      </c>
      <c r="K55" s="38">
        <f t="shared" si="13"/>
        <v>0</v>
      </c>
      <c r="L55" s="22"/>
      <c r="M55" s="18">
        <f t="shared" si="14"/>
        <v>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7"/>
      <c r="B56" s="18"/>
      <c r="C56" s="20"/>
      <c r="D56" s="20"/>
      <c r="E56" s="20"/>
      <c r="F56" s="20"/>
      <c r="G56" s="20">
        <f t="shared" si="10"/>
        <v>0</v>
      </c>
      <c r="H56" s="13" t="str">
        <f t="shared" si="11"/>
        <v>#DIV/0!</v>
      </c>
      <c r="I56" s="39"/>
      <c r="J56" s="10">
        <f t="shared" si="12"/>
        <v>0</v>
      </c>
      <c r="K56" s="38">
        <f t="shared" si="13"/>
        <v>0</v>
      </c>
      <c r="L56" s="22"/>
      <c r="M56" s="18">
        <f t="shared" si="14"/>
        <v>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7"/>
      <c r="B57" s="25"/>
      <c r="C57" s="20"/>
      <c r="D57" s="20"/>
      <c r="E57" s="20"/>
      <c r="F57" s="20"/>
      <c r="G57" s="20">
        <f t="shared" si="10"/>
        <v>0</v>
      </c>
      <c r="H57" s="13" t="str">
        <f t="shared" si="11"/>
        <v>#DIV/0!</v>
      </c>
      <c r="I57" s="39"/>
      <c r="J57" s="10">
        <f t="shared" si="12"/>
        <v>0</v>
      </c>
      <c r="K57" s="38">
        <f t="shared" si="13"/>
        <v>0</v>
      </c>
      <c r="L57" s="22"/>
      <c r="M57" s="18">
        <f t="shared" si="14"/>
        <v>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7"/>
      <c r="B58" s="25" t="s">
        <v>23</v>
      </c>
      <c r="C58" s="20"/>
      <c r="D58" s="20"/>
      <c r="E58" s="20"/>
      <c r="F58" s="20"/>
      <c r="G58" s="20">
        <f t="shared" si="10"/>
        <v>0</v>
      </c>
      <c r="H58" s="13" t="str">
        <f t="shared" si="11"/>
        <v>#DIV/0!</v>
      </c>
      <c r="I58" s="39"/>
      <c r="J58" s="10">
        <f t="shared" si="12"/>
        <v>80600</v>
      </c>
      <c r="K58" s="38">
        <f t="shared" si="13"/>
        <v>80600</v>
      </c>
      <c r="L58" s="22"/>
      <c r="M58" s="18">
        <f t="shared" si="14"/>
        <v>80600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26" t="s">
        <v>24</v>
      </c>
      <c r="B59" s="27"/>
      <c r="C59" s="28"/>
      <c r="D59" s="28"/>
      <c r="E59" s="28"/>
      <c r="F59" s="28"/>
      <c r="G59" s="28">
        <f t="shared" si="10"/>
        <v>0</v>
      </c>
      <c r="H59" s="40" t="str">
        <f t="shared" si="11"/>
        <v>#DIV/0!</v>
      </c>
      <c r="I59" s="39"/>
      <c r="J59" s="10">
        <f t="shared" si="12"/>
        <v>0</v>
      </c>
      <c r="K59" s="38">
        <f t="shared" si="13"/>
        <v>0</v>
      </c>
      <c r="L59" s="29"/>
      <c r="M59" s="25">
        <f t="shared" si="14"/>
        <v>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25"/>
      <c r="B60" s="25"/>
      <c r="C60" s="25"/>
      <c r="D60" s="25" t="s">
        <v>25</v>
      </c>
      <c r="E60" s="28">
        <f>SUM(E43:E59)</f>
        <v>18.49</v>
      </c>
      <c r="F60" s="25"/>
      <c r="G60" s="25"/>
      <c r="H60" s="25"/>
      <c r="I60" s="25"/>
      <c r="J60" s="5"/>
      <c r="K60" s="30" t="s">
        <v>26</v>
      </c>
      <c r="L60" s="30">
        <f>SUM(L43:L59)</f>
        <v>40000</v>
      </c>
      <c r="M60" s="2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 t="s">
        <v>0</v>
      </c>
      <c r="B61" s="41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6"/>
      <c r="B62" s="7" t="s">
        <v>1</v>
      </c>
      <c r="C62" s="7" t="s">
        <v>2</v>
      </c>
      <c r="D62" s="7" t="s">
        <v>3</v>
      </c>
      <c r="E62" s="7" t="s">
        <v>4</v>
      </c>
      <c r="F62" s="7" t="s">
        <v>5</v>
      </c>
      <c r="G62" s="7" t="s">
        <v>6</v>
      </c>
      <c r="H62" s="7" t="s">
        <v>7</v>
      </c>
      <c r="I62" s="7" t="s">
        <v>8</v>
      </c>
      <c r="J62" s="7" t="s">
        <v>9</v>
      </c>
      <c r="K62" s="7" t="s">
        <v>10</v>
      </c>
      <c r="L62" s="7" t="s">
        <v>11</v>
      </c>
      <c r="M62" s="8" t="s">
        <v>12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9"/>
      <c r="B63" s="10" t="s">
        <v>13</v>
      </c>
      <c r="C63" s="12"/>
      <c r="D63" s="12"/>
      <c r="E63" s="12"/>
      <c r="F63" s="12"/>
      <c r="G63" s="12">
        <f t="shared" ref="G63:G79" si="15">C63-F63</f>
        <v>0</v>
      </c>
      <c r="H63" s="13" t="str">
        <f t="shared" ref="H63:H79" si="16">D63/G63</f>
        <v>#DIV/0!</v>
      </c>
      <c r="I63" s="42"/>
      <c r="J63" s="10">
        <f t="shared" ref="J63:J79" si="17">M43</f>
        <v>367.5</v>
      </c>
      <c r="K63" s="36">
        <f t="shared" ref="K63:K79" si="18">(G63*I63)+J63</f>
        <v>367.5</v>
      </c>
      <c r="L63" s="32"/>
      <c r="M63" s="10">
        <f t="shared" ref="M63:M79" si="19">K63-L63</f>
        <v>367.5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7">
        <v>1.07</v>
      </c>
      <c r="B64" s="18" t="s">
        <v>14</v>
      </c>
      <c r="C64" s="20"/>
      <c r="D64" s="20"/>
      <c r="E64" s="20"/>
      <c r="F64" s="20"/>
      <c r="G64" s="20">
        <f t="shared" si="15"/>
        <v>0</v>
      </c>
      <c r="H64" s="13" t="str">
        <f t="shared" si="16"/>
        <v>#DIV/0!</v>
      </c>
      <c r="I64" s="39"/>
      <c r="J64" s="10">
        <f t="shared" si="17"/>
        <v>85684</v>
      </c>
      <c r="K64" s="38">
        <f t="shared" si="18"/>
        <v>85684</v>
      </c>
      <c r="L64" s="22"/>
      <c r="M64" s="18">
        <f t="shared" si="19"/>
        <v>85684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7">
        <v>0.96</v>
      </c>
      <c r="B65" s="18" t="s">
        <v>15</v>
      </c>
      <c r="C65" s="20"/>
      <c r="D65" s="20"/>
      <c r="E65" s="20"/>
      <c r="F65" s="20"/>
      <c r="G65" s="20">
        <f t="shared" si="15"/>
        <v>0</v>
      </c>
      <c r="H65" s="13" t="str">
        <f t="shared" si="16"/>
        <v>#DIV/0!</v>
      </c>
      <c r="I65" s="39"/>
      <c r="J65" s="10">
        <f t="shared" si="17"/>
        <v>72253</v>
      </c>
      <c r="K65" s="38">
        <f t="shared" si="18"/>
        <v>72253</v>
      </c>
      <c r="L65" s="22"/>
      <c r="M65" s="18">
        <f t="shared" si="19"/>
        <v>72253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7">
        <v>0.865</v>
      </c>
      <c r="B66" s="18" t="s">
        <v>16</v>
      </c>
      <c r="C66" s="20"/>
      <c r="D66" s="20"/>
      <c r="E66" s="20"/>
      <c r="F66" s="20"/>
      <c r="G66" s="20">
        <f t="shared" si="15"/>
        <v>0</v>
      </c>
      <c r="H66" s="13" t="str">
        <f t="shared" si="16"/>
        <v>#DIV/0!</v>
      </c>
      <c r="I66" s="39"/>
      <c r="J66" s="10">
        <f t="shared" si="17"/>
        <v>720</v>
      </c>
      <c r="K66" s="38">
        <f t="shared" si="18"/>
        <v>720</v>
      </c>
      <c r="L66" s="22"/>
      <c r="M66" s="18">
        <f t="shared" si="19"/>
        <v>720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7">
        <v>0.885</v>
      </c>
      <c r="B67" s="18" t="s">
        <v>17</v>
      </c>
      <c r="C67" s="20"/>
      <c r="D67" s="20"/>
      <c r="E67" s="20"/>
      <c r="F67" s="20"/>
      <c r="G67" s="20">
        <f t="shared" si="15"/>
        <v>0</v>
      </c>
      <c r="H67" s="13" t="str">
        <f t="shared" si="16"/>
        <v>#DIV/0!</v>
      </c>
      <c r="I67" s="39"/>
      <c r="J67" s="10">
        <f t="shared" si="17"/>
        <v>81</v>
      </c>
      <c r="K67" s="38">
        <f t="shared" si="18"/>
        <v>81</v>
      </c>
      <c r="L67" s="22"/>
      <c r="M67" s="18">
        <f t="shared" si="19"/>
        <v>81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7"/>
      <c r="B68" s="18" t="s">
        <v>18</v>
      </c>
      <c r="C68" s="20"/>
      <c r="D68" s="20"/>
      <c r="E68" s="20"/>
      <c r="F68" s="20"/>
      <c r="G68" s="20">
        <f t="shared" si="15"/>
        <v>0</v>
      </c>
      <c r="H68" s="13" t="str">
        <f t="shared" si="16"/>
        <v>#DIV/0!</v>
      </c>
      <c r="I68" s="39"/>
      <c r="J68" s="10">
        <f t="shared" si="17"/>
        <v>668</v>
      </c>
      <c r="K68" s="38">
        <f t="shared" si="18"/>
        <v>668</v>
      </c>
      <c r="L68" s="22"/>
      <c r="M68" s="18">
        <f t="shared" si="19"/>
        <v>668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7">
        <v>0.85</v>
      </c>
      <c r="B69" s="18" t="s">
        <v>19</v>
      </c>
      <c r="C69" s="20"/>
      <c r="D69" s="20"/>
      <c r="E69" s="20"/>
      <c r="F69" s="20"/>
      <c r="G69" s="20">
        <f t="shared" si="15"/>
        <v>0</v>
      </c>
      <c r="H69" s="13" t="str">
        <f t="shared" si="16"/>
        <v>#DIV/0!</v>
      </c>
      <c r="I69" s="39"/>
      <c r="J69" s="10">
        <f t="shared" si="17"/>
        <v>360</v>
      </c>
      <c r="K69" s="38">
        <f t="shared" si="18"/>
        <v>360</v>
      </c>
      <c r="L69" s="22"/>
      <c r="M69" s="18">
        <f t="shared" si="19"/>
        <v>360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7">
        <v>0.93</v>
      </c>
      <c r="B70" s="18" t="s">
        <v>20</v>
      </c>
      <c r="C70" s="20"/>
      <c r="D70" s="20"/>
      <c r="E70" s="20"/>
      <c r="F70" s="20"/>
      <c r="G70" s="20">
        <f t="shared" si="15"/>
        <v>0</v>
      </c>
      <c r="H70" s="13" t="str">
        <f t="shared" si="16"/>
        <v>#DIV/0!</v>
      </c>
      <c r="I70" s="39"/>
      <c r="J70" s="10">
        <f t="shared" si="17"/>
        <v>-275</v>
      </c>
      <c r="K70" s="38">
        <f t="shared" si="18"/>
        <v>-275</v>
      </c>
      <c r="L70" s="22"/>
      <c r="M70" s="18">
        <f t="shared" si="19"/>
        <v>-275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7">
        <v>0.96</v>
      </c>
      <c r="B71" s="18" t="s">
        <v>21</v>
      </c>
      <c r="C71" s="20"/>
      <c r="D71" s="20"/>
      <c r="E71" s="20"/>
      <c r="F71" s="20"/>
      <c r="G71" s="20">
        <f t="shared" si="15"/>
        <v>0</v>
      </c>
      <c r="H71" s="13" t="str">
        <f t="shared" si="16"/>
        <v>#DIV/0!</v>
      </c>
      <c r="I71" s="39"/>
      <c r="J71" s="10">
        <f t="shared" si="17"/>
        <v>7</v>
      </c>
      <c r="K71" s="38">
        <f t="shared" si="18"/>
        <v>7</v>
      </c>
      <c r="L71" s="22"/>
      <c r="M71" s="18">
        <f t="shared" si="19"/>
        <v>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7">
        <v>0.815</v>
      </c>
      <c r="B72" s="18" t="s">
        <v>22</v>
      </c>
      <c r="C72" s="20"/>
      <c r="D72" s="20"/>
      <c r="E72" s="20"/>
      <c r="F72" s="20"/>
      <c r="G72" s="20">
        <f t="shared" si="15"/>
        <v>0</v>
      </c>
      <c r="H72" s="13" t="str">
        <f t="shared" si="16"/>
        <v>#DIV/0!</v>
      </c>
      <c r="I72" s="39"/>
      <c r="J72" s="10">
        <f t="shared" si="17"/>
        <v>649</v>
      </c>
      <c r="K72" s="38">
        <f t="shared" si="18"/>
        <v>649</v>
      </c>
      <c r="L72" s="22"/>
      <c r="M72" s="18">
        <f t="shared" si="19"/>
        <v>649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7"/>
      <c r="B73" s="18"/>
      <c r="C73" s="20"/>
      <c r="D73" s="20"/>
      <c r="E73" s="20"/>
      <c r="F73" s="20"/>
      <c r="G73" s="20">
        <f t="shared" si="15"/>
        <v>0</v>
      </c>
      <c r="H73" s="13" t="str">
        <f t="shared" si="16"/>
        <v>#DIV/0!</v>
      </c>
      <c r="I73" s="39"/>
      <c r="J73" s="10">
        <f t="shared" si="17"/>
        <v>0</v>
      </c>
      <c r="K73" s="38">
        <f t="shared" si="18"/>
        <v>0</v>
      </c>
      <c r="L73" s="22"/>
      <c r="M73" s="18">
        <f t="shared" si="19"/>
        <v>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7"/>
      <c r="B74" s="18"/>
      <c r="C74" s="20"/>
      <c r="D74" s="20"/>
      <c r="E74" s="20"/>
      <c r="F74" s="20"/>
      <c r="G74" s="20">
        <f t="shared" si="15"/>
        <v>0</v>
      </c>
      <c r="H74" s="13" t="str">
        <f t="shared" si="16"/>
        <v>#DIV/0!</v>
      </c>
      <c r="I74" s="39"/>
      <c r="J74" s="10">
        <f t="shared" si="17"/>
        <v>0</v>
      </c>
      <c r="K74" s="38">
        <f t="shared" si="18"/>
        <v>0</v>
      </c>
      <c r="L74" s="22"/>
      <c r="M74" s="18">
        <f t="shared" si="19"/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7"/>
      <c r="B75" s="18"/>
      <c r="C75" s="20"/>
      <c r="D75" s="20"/>
      <c r="E75" s="20"/>
      <c r="F75" s="20"/>
      <c r="G75" s="20">
        <f t="shared" si="15"/>
        <v>0</v>
      </c>
      <c r="H75" s="13" t="str">
        <f t="shared" si="16"/>
        <v>#DIV/0!</v>
      </c>
      <c r="I75" s="39"/>
      <c r="J75" s="10">
        <f t="shared" si="17"/>
        <v>0</v>
      </c>
      <c r="K75" s="38">
        <f t="shared" si="18"/>
        <v>0</v>
      </c>
      <c r="L75" s="22"/>
      <c r="M75" s="18">
        <f t="shared" si="19"/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7"/>
      <c r="B76" s="18"/>
      <c r="C76" s="20"/>
      <c r="D76" s="20"/>
      <c r="E76" s="20"/>
      <c r="F76" s="20"/>
      <c r="G76" s="20">
        <f t="shared" si="15"/>
        <v>0</v>
      </c>
      <c r="H76" s="13" t="str">
        <f t="shared" si="16"/>
        <v>#DIV/0!</v>
      </c>
      <c r="I76" s="39"/>
      <c r="J76" s="10">
        <f t="shared" si="17"/>
        <v>0</v>
      </c>
      <c r="K76" s="38">
        <f t="shared" si="18"/>
        <v>0</v>
      </c>
      <c r="L76" s="22"/>
      <c r="M76" s="18">
        <f t="shared" si="19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7"/>
      <c r="B77" s="25"/>
      <c r="C77" s="20"/>
      <c r="D77" s="20"/>
      <c r="E77" s="20"/>
      <c r="F77" s="20"/>
      <c r="G77" s="20">
        <f t="shared" si="15"/>
        <v>0</v>
      </c>
      <c r="H77" s="13" t="str">
        <f t="shared" si="16"/>
        <v>#DIV/0!</v>
      </c>
      <c r="I77" s="39"/>
      <c r="J77" s="10">
        <f t="shared" si="17"/>
        <v>0</v>
      </c>
      <c r="K77" s="38">
        <f t="shared" si="18"/>
        <v>0</v>
      </c>
      <c r="L77" s="22"/>
      <c r="M77" s="18">
        <f t="shared" si="19"/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7"/>
      <c r="B78" s="25" t="s">
        <v>23</v>
      </c>
      <c r="C78" s="20"/>
      <c r="D78" s="20"/>
      <c r="E78" s="20"/>
      <c r="F78" s="20"/>
      <c r="G78" s="20">
        <f t="shared" si="15"/>
        <v>0</v>
      </c>
      <c r="H78" s="13" t="str">
        <f t="shared" si="16"/>
        <v>#DIV/0!</v>
      </c>
      <c r="I78" s="39"/>
      <c r="J78" s="10">
        <f t="shared" si="17"/>
        <v>80600</v>
      </c>
      <c r="K78" s="38">
        <f t="shared" si="18"/>
        <v>80600</v>
      </c>
      <c r="L78" s="22"/>
      <c r="M78" s="18">
        <f t="shared" si="19"/>
        <v>80600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26" t="s">
        <v>24</v>
      </c>
      <c r="B79" s="27"/>
      <c r="C79" s="28"/>
      <c r="D79" s="28"/>
      <c r="E79" s="28"/>
      <c r="F79" s="28"/>
      <c r="G79" s="28">
        <f t="shared" si="15"/>
        <v>0</v>
      </c>
      <c r="H79" s="40" t="str">
        <f t="shared" si="16"/>
        <v>#DIV/0!</v>
      </c>
      <c r="I79" s="39"/>
      <c r="J79" s="10">
        <f t="shared" si="17"/>
        <v>0</v>
      </c>
      <c r="K79" s="38">
        <f t="shared" si="18"/>
        <v>0</v>
      </c>
      <c r="L79" s="29"/>
      <c r="M79" s="25">
        <f t="shared" si="19"/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25"/>
      <c r="B80" s="25"/>
      <c r="C80" s="25"/>
      <c r="D80" s="25" t="s">
        <v>25</v>
      </c>
      <c r="E80" s="28">
        <f>SUM(E63:E79)</f>
        <v>0</v>
      </c>
      <c r="F80" s="25"/>
      <c r="G80" s="25"/>
      <c r="H80" s="25"/>
      <c r="I80" s="25"/>
      <c r="J80" s="5"/>
      <c r="K80" s="30" t="s">
        <v>26</v>
      </c>
      <c r="L80" s="30">
        <f>SUM(L63:L79)</f>
        <v>0</v>
      </c>
      <c r="M80" s="2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 t="s">
        <v>0</v>
      </c>
      <c r="B81" s="41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6"/>
      <c r="B82" s="7" t="s">
        <v>1</v>
      </c>
      <c r="C82" s="7" t="s">
        <v>2</v>
      </c>
      <c r="D82" s="7" t="s">
        <v>3</v>
      </c>
      <c r="E82" s="7" t="s">
        <v>4</v>
      </c>
      <c r="F82" s="7" t="s">
        <v>5</v>
      </c>
      <c r="G82" s="7" t="s">
        <v>6</v>
      </c>
      <c r="H82" s="7" t="s">
        <v>7</v>
      </c>
      <c r="I82" s="7" t="s">
        <v>8</v>
      </c>
      <c r="J82" s="7" t="s">
        <v>9</v>
      </c>
      <c r="K82" s="7" t="s">
        <v>10</v>
      </c>
      <c r="L82" s="7" t="s">
        <v>11</v>
      </c>
      <c r="M82" s="8" t="s">
        <v>12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9"/>
      <c r="B83" s="10" t="s">
        <v>13</v>
      </c>
      <c r="C83" s="12"/>
      <c r="D83" s="12"/>
      <c r="E83" s="12"/>
      <c r="F83" s="12"/>
      <c r="G83" s="12">
        <f t="shared" ref="G83:G99" si="20">C83-F83</f>
        <v>0</v>
      </c>
      <c r="H83" s="13" t="str">
        <f t="shared" ref="H83:H99" si="21">D83/G83</f>
        <v>#DIV/0!</v>
      </c>
      <c r="I83" s="42"/>
      <c r="J83" s="10">
        <f t="shared" ref="J83:J99" si="22">M63</f>
        <v>367.5</v>
      </c>
      <c r="K83" s="36">
        <f t="shared" ref="K83:K99" si="23">(G83*I83)+J83</f>
        <v>367.5</v>
      </c>
      <c r="L83" s="32"/>
      <c r="M83" s="10">
        <f t="shared" ref="M83:M99" si="24">K83-L83</f>
        <v>367.5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7">
        <v>1.07</v>
      </c>
      <c r="B84" s="18" t="s">
        <v>14</v>
      </c>
      <c r="C84" s="20"/>
      <c r="D84" s="20"/>
      <c r="E84" s="20"/>
      <c r="F84" s="20"/>
      <c r="G84" s="20">
        <f t="shared" si="20"/>
        <v>0</v>
      </c>
      <c r="H84" s="13" t="str">
        <f t="shared" si="21"/>
        <v>#DIV/0!</v>
      </c>
      <c r="I84" s="39"/>
      <c r="J84" s="10">
        <f t="shared" si="22"/>
        <v>85684</v>
      </c>
      <c r="K84" s="38">
        <f t="shared" si="23"/>
        <v>85684</v>
      </c>
      <c r="L84" s="22"/>
      <c r="M84" s="18">
        <f t="shared" si="24"/>
        <v>85684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7">
        <v>0.96</v>
      </c>
      <c r="B85" s="18" t="s">
        <v>15</v>
      </c>
      <c r="C85" s="20"/>
      <c r="D85" s="20"/>
      <c r="E85" s="20"/>
      <c r="F85" s="20"/>
      <c r="G85" s="20">
        <f t="shared" si="20"/>
        <v>0</v>
      </c>
      <c r="H85" s="13" t="str">
        <f t="shared" si="21"/>
        <v>#DIV/0!</v>
      </c>
      <c r="I85" s="39"/>
      <c r="J85" s="10">
        <f t="shared" si="22"/>
        <v>72253</v>
      </c>
      <c r="K85" s="38">
        <f t="shared" si="23"/>
        <v>72253</v>
      </c>
      <c r="L85" s="22"/>
      <c r="M85" s="18">
        <f t="shared" si="24"/>
        <v>72253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7">
        <v>0.865</v>
      </c>
      <c r="B86" s="18" t="s">
        <v>16</v>
      </c>
      <c r="C86" s="20"/>
      <c r="D86" s="20"/>
      <c r="E86" s="20"/>
      <c r="F86" s="20"/>
      <c r="G86" s="20">
        <f t="shared" si="20"/>
        <v>0</v>
      </c>
      <c r="H86" s="13" t="str">
        <f t="shared" si="21"/>
        <v>#DIV/0!</v>
      </c>
      <c r="I86" s="39"/>
      <c r="J86" s="10">
        <f t="shared" si="22"/>
        <v>720</v>
      </c>
      <c r="K86" s="38">
        <f t="shared" si="23"/>
        <v>720</v>
      </c>
      <c r="L86" s="22"/>
      <c r="M86" s="18">
        <f t="shared" si="24"/>
        <v>720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7">
        <v>0.885</v>
      </c>
      <c r="B87" s="18" t="s">
        <v>17</v>
      </c>
      <c r="C87" s="20"/>
      <c r="D87" s="20"/>
      <c r="E87" s="20"/>
      <c r="F87" s="20"/>
      <c r="G87" s="20">
        <f t="shared" si="20"/>
        <v>0</v>
      </c>
      <c r="H87" s="13" t="str">
        <f t="shared" si="21"/>
        <v>#DIV/0!</v>
      </c>
      <c r="I87" s="39"/>
      <c r="J87" s="10">
        <f t="shared" si="22"/>
        <v>81</v>
      </c>
      <c r="K87" s="38">
        <f t="shared" si="23"/>
        <v>81</v>
      </c>
      <c r="L87" s="22"/>
      <c r="M87" s="18">
        <f t="shared" si="24"/>
        <v>81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7"/>
      <c r="B88" s="18" t="s">
        <v>18</v>
      </c>
      <c r="C88" s="20"/>
      <c r="D88" s="20"/>
      <c r="E88" s="20"/>
      <c r="F88" s="20"/>
      <c r="G88" s="20">
        <f t="shared" si="20"/>
        <v>0</v>
      </c>
      <c r="H88" s="13" t="str">
        <f t="shared" si="21"/>
        <v>#DIV/0!</v>
      </c>
      <c r="I88" s="39"/>
      <c r="J88" s="10">
        <f t="shared" si="22"/>
        <v>668</v>
      </c>
      <c r="K88" s="38">
        <f t="shared" si="23"/>
        <v>668</v>
      </c>
      <c r="L88" s="22"/>
      <c r="M88" s="18">
        <f t="shared" si="24"/>
        <v>668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7">
        <v>0.85</v>
      </c>
      <c r="B89" s="18" t="s">
        <v>19</v>
      </c>
      <c r="C89" s="20"/>
      <c r="D89" s="20"/>
      <c r="E89" s="20"/>
      <c r="F89" s="20"/>
      <c r="G89" s="20">
        <f t="shared" si="20"/>
        <v>0</v>
      </c>
      <c r="H89" s="13" t="str">
        <f t="shared" si="21"/>
        <v>#DIV/0!</v>
      </c>
      <c r="I89" s="39"/>
      <c r="J89" s="10">
        <f t="shared" si="22"/>
        <v>360</v>
      </c>
      <c r="K89" s="38">
        <f t="shared" si="23"/>
        <v>360</v>
      </c>
      <c r="L89" s="22"/>
      <c r="M89" s="18">
        <f t="shared" si="24"/>
        <v>360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7">
        <v>0.93</v>
      </c>
      <c r="B90" s="18" t="s">
        <v>20</v>
      </c>
      <c r="C90" s="20"/>
      <c r="D90" s="20"/>
      <c r="E90" s="20"/>
      <c r="F90" s="20"/>
      <c r="G90" s="20">
        <f t="shared" si="20"/>
        <v>0</v>
      </c>
      <c r="H90" s="13" t="str">
        <f t="shared" si="21"/>
        <v>#DIV/0!</v>
      </c>
      <c r="I90" s="39"/>
      <c r="J90" s="10">
        <f t="shared" si="22"/>
        <v>-275</v>
      </c>
      <c r="K90" s="38">
        <f t="shared" si="23"/>
        <v>-275</v>
      </c>
      <c r="L90" s="22"/>
      <c r="M90" s="18">
        <f t="shared" si="24"/>
        <v>-275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7">
        <v>0.96</v>
      </c>
      <c r="B91" s="18" t="s">
        <v>21</v>
      </c>
      <c r="C91" s="20"/>
      <c r="D91" s="20"/>
      <c r="E91" s="20"/>
      <c r="F91" s="20"/>
      <c r="G91" s="20">
        <f t="shared" si="20"/>
        <v>0</v>
      </c>
      <c r="H91" s="13" t="str">
        <f t="shared" si="21"/>
        <v>#DIV/0!</v>
      </c>
      <c r="I91" s="39"/>
      <c r="J91" s="10">
        <f t="shared" si="22"/>
        <v>7</v>
      </c>
      <c r="K91" s="38">
        <f t="shared" si="23"/>
        <v>7</v>
      </c>
      <c r="L91" s="22"/>
      <c r="M91" s="18">
        <f t="shared" si="24"/>
        <v>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7">
        <v>0.815</v>
      </c>
      <c r="B92" s="18" t="s">
        <v>22</v>
      </c>
      <c r="C92" s="20"/>
      <c r="D92" s="20"/>
      <c r="E92" s="20"/>
      <c r="F92" s="20"/>
      <c r="G92" s="20">
        <f t="shared" si="20"/>
        <v>0</v>
      </c>
      <c r="H92" s="13" t="str">
        <f t="shared" si="21"/>
        <v>#DIV/0!</v>
      </c>
      <c r="I92" s="39"/>
      <c r="J92" s="10">
        <f t="shared" si="22"/>
        <v>649</v>
      </c>
      <c r="K92" s="38">
        <f t="shared" si="23"/>
        <v>649</v>
      </c>
      <c r="L92" s="22"/>
      <c r="M92" s="18">
        <f t="shared" si="24"/>
        <v>649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7"/>
      <c r="B93" s="18"/>
      <c r="C93" s="20"/>
      <c r="D93" s="20"/>
      <c r="E93" s="20"/>
      <c r="F93" s="20"/>
      <c r="G93" s="20">
        <f t="shared" si="20"/>
        <v>0</v>
      </c>
      <c r="H93" s="13" t="str">
        <f t="shared" si="21"/>
        <v>#DIV/0!</v>
      </c>
      <c r="I93" s="39"/>
      <c r="J93" s="10">
        <f t="shared" si="22"/>
        <v>0</v>
      </c>
      <c r="K93" s="38">
        <f t="shared" si="23"/>
        <v>0</v>
      </c>
      <c r="L93" s="22"/>
      <c r="M93" s="18">
        <f t="shared" si="24"/>
        <v>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7"/>
      <c r="B94" s="18"/>
      <c r="C94" s="20"/>
      <c r="D94" s="20"/>
      <c r="E94" s="20"/>
      <c r="F94" s="20"/>
      <c r="G94" s="20">
        <f t="shared" si="20"/>
        <v>0</v>
      </c>
      <c r="H94" s="13" t="str">
        <f t="shared" si="21"/>
        <v>#DIV/0!</v>
      </c>
      <c r="I94" s="39"/>
      <c r="J94" s="10">
        <f t="shared" si="22"/>
        <v>0</v>
      </c>
      <c r="K94" s="38">
        <f t="shared" si="23"/>
        <v>0</v>
      </c>
      <c r="L94" s="22"/>
      <c r="M94" s="18">
        <f t="shared" si="24"/>
        <v>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7"/>
      <c r="B95" s="18"/>
      <c r="C95" s="20"/>
      <c r="D95" s="20"/>
      <c r="E95" s="20"/>
      <c r="F95" s="20"/>
      <c r="G95" s="20">
        <f t="shared" si="20"/>
        <v>0</v>
      </c>
      <c r="H95" s="13" t="str">
        <f t="shared" si="21"/>
        <v>#DIV/0!</v>
      </c>
      <c r="I95" s="39"/>
      <c r="J95" s="10">
        <f t="shared" si="22"/>
        <v>0</v>
      </c>
      <c r="K95" s="38">
        <f t="shared" si="23"/>
        <v>0</v>
      </c>
      <c r="L95" s="22"/>
      <c r="M95" s="18">
        <f t="shared" si="24"/>
        <v>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7"/>
      <c r="B96" s="18"/>
      <c r="C96" s="20"/>
      <c r="D96" s="20"/>
      <c r="E96" s="20"/>
      <c r="F96" s="20"/>
      <c r="G96" s="20">
        <f t="shared" si="20"/>
        <v>0</v>
      </c>
      <c r="H96" s="13" t="str">
        <f t="shared" si="21"/>
        <v>#DIV/0!</v>
      </c>
      <c r="I96" s="39"/>
      <c r="J96" s="10">
        <f t="shared" si="22"/>
        <v>0</v>
      </c>
      <c r="K96" s="38">
        <f t="shared" si="23"/>
        <v>0</v>
      </c>
      <c r="L96" s="22"/>
      <c r="M96" s="18">
        <f t="shared" si="24"/>
        <v>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7"/>
      <c r="B97" s="25"/>
      <c r="C97" s="20"/>
      <c r="D97" s="20"/>
      <c r="E97" s="20"/>
      <c r="F97" s="20"/>
      <c r="G97" s="20">
        <f t="shared" si="20"/>
        <v>0</v>
      </c>
      <c r="H97" s="13" t="str">
        <f t="shared" si="21"/>
        <v>#DIV/0!</v>
      </c>
      <c r="I97" s="39"/>
      <c r="J97" s="10">
        <f t="shared" si="22"/>
        <v>0</v>
      </c>
      <c r="K97" s="38">
        <f t="shared" si="23"/>
        <v>0</v>
      </c>
      <c r="L97" s="22"/>
      <c r="M97" s="18">
        <f t="shared" si="24"/>
        <v>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7"/>
      <c r="B98" s="25" t="s">
        <v>23</v>
      </c>
      <c r="C98" s="20"/>
      <c r="D98" s="20"/>
      <c r="E98" s="20"/>
      <c r="F98" s="20"/>
      <c r="G98" s="20">
        <f t="shared" si="20"/>
        <v>0</v>
      </c>
      <c r="H98" s="13" t="str">
        <f t="shared" si="21"/>
        <v>#DIV/0!</v>
      </c>
      <c r="I98" s="39"/>
      <c r="J98" s="10">
        <f t="shared" si="22"/>
        <v>80600</v>
      </c>
      <c r="K98" s="38">
        <f t="shared" si="23"/>
        <v>80600</v>
      </c>
      <c r="L98" s="22"/>
      <c r="M98" s="18">
        <f t="shared" si="24"/>
        <v>80600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6" t="s">
        <v>24</v>
      </c>
      <c r="B99" s="27"/>
      <c r="C99" s="28"/>
      <c r="D99" s="28"/>
      <c r="E99" s="28"/>
      <c r="F99" s="28"/>
      <c r="G99" s="28">
        <f t="shared" si="20"/>
        <v>0</v>
      </c>
      <c r="H99" s="40" t="str">
        <f t="shared" si="21"/>
        <v>#DIV/0!</v>
      </c>
      <c r="I99" s="39"/>
      <c r="J99" s="10">
        <f t="shared" si="22"/>
        <v>0</v>
      </c>
      <c r="K99" s="38">
        <f t="shared" si="23"/>
        <v>0</v>
      </c>
      <c r="L99" s="29"/>
      <c r="M99" s="25">
        <f t="shared" si="24"/>
        <v>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5"/>
      <c r="B100" s="25"/>
      <c r="C100" s="25"/>
      <c r="D100" s="25" t="s">
        <v>25</v>
      </c>
      <c r="E100" s="28">
        <f>SUM(E83:E99)</f>
        <v>0</v>
      </c>
      <c r="F100" s="25"/>
      <c r="G100" s="25"/>
      <c r="H100" s="25"/>
      <c r="I100" s="25"/>
      <c r="J100" s="5"/>
      <c r="K100" s="30" t="s">
        <v>26</v>
      </c>
      <c r="L100" s="30">
        <f>SUM(L83:L99)</f>
        <v>0</v>
      </c>
      <c r="M100" s="2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 t="s">
        <v>0</v>
      </c>
      <c r="B101" s="4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6"/>
      <c r="B102" s="7" t="s">
        <v>1</v>
      </c>
      <c r="C102" s="7" t="s">
        <v>2</v>
      </c>
      <c r="D102" s="7" t="s">
        <v>3</v>
      </c>
      <c r="E102" s="7" t="s">
        <v>4</v>
      </c>
      <c r="F102" s="7" t="s">
        <v>5</v>
      </c>
      <c r="G102" s="7" t="s">
        <v>6</v>
      </c>
      <c r="H102" s="7" t="s">
        <v>7</v>
      </c>
      <c r="I102" s="7" t="s">
        <v>8</v>
      </c>
      <c r="J102" s="7" t="s">
        <v>9</v>
      </c>
      <c r="K102" s="7" t="s">
        <v>10</v>
      </c>
      <c r="L102" s="7" t="s">
        <v>11</v>
      </c>
      <c r="M102" s="8" t="s">
        <v>12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9"/>
      <c r="B103" s="10" t="s">
        <v>13</v>
      </c>
      <c r="C103" s="12"/>
      <c r="D103" s="12"/>
      <c r="E103" s="12"/>
      <c r="F103" s="12"/>
      <c r="G103" s="12">
        <f t="shared" ref="G103:G119" si="25">C103-F103</f>
        <v>0</v>
      </c>
      <c r="H103" s="13" t="str">
        <f t="shared" ref="H103:H119" si="26">D103/G103</f>
        <v>#DIV/0!</v>
      </c>
      <c r="I103" s="42"/>
      <c r="J103" s="10">
        <f t="shared" ref="J103:J119" si="27">M83</f>
        <v>367.5</v>
      </c>
      <c r="K103" s="36">
        <f t="shared" ref="K103:K119" si="28">(G103*I103)+J103</f>
        <v>367.5</v>
      </c>
      <c r="L103" s="32"/>
      <c r="M103" s="10">
        <f t="shared" ref="M103:M119" si="29">K103-L103</f>
        <v>367.5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7">
        <v>1.07</v>
      </c>
      <c r="B104" s="18" t="s">
        <v>14</v>
      </c>
      <c r="C104" s="20"/>
      <c r="D104" s="20"/>
      <c r="E104" s="20"/>
      <c r="F104" s="20"/>
      <c r="G104" s="20">
        <f t="shared" si="25"/>
        <v>0</v>
      </c>
      <c r="H104" s="13" t="str">
        <f t="shared" si="26"/>
        <v>#DIV/0!</v>
      </c>
      <c r="I104" s="39"/>
      <c r="J104" s="10">
        <f t="shared" si="27"/>
        <v>85684</v>
      </c>
      <c r="K104" s="38">
        <f t="shared" si="28"/>
        <v>85684</v>
      </c>
      <c r="L104" s="22"/>
      <c r="M104" s="18">
        <f t="shared" si="29"/>
        <v>85684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7">
        <v>0.96</v>
      </c>
      <c r="B105" s="18" t="s">
        <v>15</v>
      </c>
      <c r="C105" s="20"/>
      <c r="D105" s="20"/>
      <c r="E105" s="20"/>
      <c r="F105" s="20"/>
      <c r="G105" s="20">
        <f t="shared" si="25"/>
        <v>0</v>
      </c>
      <c r="H105" s="13" t="str">
        <f t="shared" si="26"/>
        <v>#DIV/0!</v>
      </c>
      <c r="I105" s="39"/>
      <c r="J105" s="10">
        <f t="shared" si="27"/>
        <v>72253</v>
      </c>
      <c r="K105" s="38">
        <f t="shared" si="28"/>
        <v>72253</v>
      </c>
      <c r="L105" s="22"/>
      <c r="M105" s="18">
        <f t="shared" si="29"/>
        <v>72253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7">
        <v>0.865</v>
      </c>
      <c r="B106" s="18" t="s">
        <v>16</v>
      </c>
      <c r="C106" s="20"/>
      <c r="D106" s="20"/>
      <c r="E106" s="20"/>
      <c r="F106" s="20"/>
      <c r="G106" s="20">
        <f t="shared" si="25"/>
        <v>0</v>
      </c>
      <c r="H106" s="13" t="str">
        <f t="shared" si="26"/>
        <v>#DIV/0!</v>
      </c>
      <c r="I106" s="39"/>
      <c r="J106" s="10">
        <f t="shared" si="27"/>
        <v>720</v>
      </c>
      <c r="K106" s="38">
        <f t="shared" si="28"/>
        <v>720</v>
      </c>
      <c r="L106" s="22"/>
      <c r="M106" s="18">
        <f t="shared" si="29"/>
        <v>720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7">
        <v>0.885</v>
      </c>
      <c r="B107" s="18" t="s">
        <v>17</v>
      </c>
      <c r="C107" s="20"/>
      <c r="D107" s="20"/>
      <c r="E107" s="20"/>
      <c r="F107" s="20"/>
      <c r="G107" s="20">
        <f t="shared" si="25"/>
        <v>0</v>
      </c>
      <c r="H107" s="13" t="str">
        <f t="shared" si="26"/>
        <v>#DIV/0!</v>
      </c>
      <c r="I107" s="39"/>
      <c r="J107" s="10">
        <f t="shared" si="27"/>
        <v>81</v>
      </c>
      <c r="K107" s="38">
        <f t="shared" si="28"/>
        <v>81</v>
      </c>
      <c r="L107" s="22"/>
      <c r="M107" s="18">
        <f t="shared" si="29"/>
        <v>81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7"/>
      <c r="B108" s="18" t="s">
        <v>18</v>
      </c>
      <c r="C108" s="20"/>
      <c r="D108" s="20"/>
      <c r="E108" s="20"/>
      <c r="F108" s="20"/>
      <c r="G108" s="20">
        <f t="shared" si="25"/>
        <v>0</v>
      </c>
      <c r="H108" s="13" t="str">
        <f t="shared" si="26"/>
        <v>#DIV/0!</v>
      </c>
      <c r="I108" s="39"/>
      <c r="J108" s="10">
        <f t="shared" si="27"/>
        <v>668</v>
      </c>
      <c r="K108" s="38">
        <f t="shared" si="28"/>
        <v>668</v>
      </c>
      <c r="L108" s="22"/>
      <c r="M108" s="18">
        <f t="shared" si="29"/>
        <v>668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7">
        <v>0.85</v>
      </c>
      <c r="B109" s="18" t="s">
        <v>19</v>
      </c>
      <c r="C109" s="20"/>
      <c r="D109" s="20"/>
      <c r="E109" s="20"/>
      <c r="F109" s="20"/>
      <c r="G109" s="20">
        <f t="shared" si="25"/>
        <v>0</v>
      </c>
      <c r="H109" s="13" t="str">
        <f t="shared" si="26"/>
        <v>#DIV/0!</v>
      </c>
      <c r="I109" s="39"/>
      <c r="J109" s="10">
        <f t="shared" si="27"/>
        <v>360</v>
      </c>
      <c r="K109" s="38">
        <f t="shared" si="28"/>
        <v>360</v>
      </c>
      <c r="L109" s="22"/>
      <c r="M109" s="18">
        <f t="shared" si="29"/>
        <v>360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7">
        <v>0.93</v>
      </c>
      <c r="B110" s="18" t="s">
        <v>20</v>
      </c>
      <c r="C110" s="20"/>
      <c r="D110" s="20"/>
      <c r="E110" s="20"/>
      <c r="F110" s="20"/>
      <c r="G110" s="20">
        <f t="shared" si="25"/>
        <v>0</v>
      </c>
      <c r="H110" s="13" t="str">
        <f t="shared" si="26"/>
        <v>#DIV/0!</v>
      </c>
      <c r="I110" s="39"/>
      <c r="J110" s="10">
        <f t="shared" si="27"/>
        <v>-275</v>
      </c>
      <c r="K110" s="38">
        <f t="shared" si="28"/>
        <v>-275</v>
      </c>
      <c r="L110" s="22"/>
      <c r="M110" s="18">
        <f t="shared" si="29"/>
        <v>-275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7">
        <v>0.96</v>
      </c>
      <c r="B111" s="18" t="s">
        <v>21</v>
      </c>
      <c r="C111" s="20"/>
      <c r="D111" s="20"/>
      <c r="E111" s="20"/>
      <c r="F111" s="20"/>
      <c r="G111" s="20">
        <f t="shared" si="25"/>
        <v>0</v>
      </c>
      <c r="H111" s="13" t="str">
        <f t="shared" si="26"/>
        <v>#DIV/0!</v>
      </c>
      <c r="I111" s="39"/>
      <c r="J111" s="10">
        <f t="shared" si="27"/>
        <v>7</v>
      </c>
      <c r="K111" s="38">
        <f t="shared" si="28"/>
        <v>7</v>
      </c>
      <c r="L111" s="22"/>
      <c r="M111" s="18">
        <f t="shared" si="29"/>
        <v>7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7">
        <v>0.815</v>
      </c>
      <c r="B112" s="18" t="s">
        <v>22</v>
      </c>
      <c r="C112" s="20"/>
      <c r="D112" s="20"/>
      <c r="E112" s="20"/>
      <c r="F112" s="20"/>
      <c r="G112" s="20">
        <f t="shared" si="25"/>
        <v>0</v>
      </c>
      <c r="H112" s="13" t="str">
        <f t="shared" si="26"/>
        <v>#DIV/0!</v>
      </c>
      <c r="I112" s="39"/>
      <c r="J112" s="10">
        <f t="shared" si="27"/>
        <v>649</v>
      </c>
      <c r="K112" s="38">
        <f t="shared" si="28"/>
        <v>649</v>
      </c>
      <c r="L112" s="22"/>
      <c r="M112" s="18">
        <f t="shared" si="29"/>
        <v>649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7"/>
      <c r="B113" s="18"/>
      <c r="C113" s="20"/>
      <c r="D113" s="20"/>
      <c r="E113" s="20"/>
      <c r="F113" s="20"/>
      <c r="G113" s="20">
        <f t="shared" si="25"/>
        <v>0</v>
      </c>
      <c r="H113" s="13" t="str">
        <f t="shared" si="26"/>
        <v>#DIV/0!</v>
      </c>
      <c r="I113" s="39"/>
      <c r="J113" s="10">
        <f t="shared" si="27"/>
        <v>0</v>
      </c>
      <c r="K113" s="38">
        <f t="shared" si="28"/>
        <v>0</v>
      </c>
      <c r="L113" s="22"/>
      <c r="M113" s="18">
        <f t="shared" si="29"/>
        <v>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7"/>
      <c r="B114" s="18"/>
      <c r="C114" s="20"/>
      <c r="D114" s="20"/>
      <c r="E114" s="20"/>
      <c r="F114" s="20"/>
      <c r="G114" s="20">
        <f t="shared" si="25"/>
        <v>0</v>
      </c>
      <c r="H114" s="13" t="str">
        <f t="shared" si="26"/>
        <v>#DIV/0!</v>
      </c>
      <c r="I114" s="39"/>
      <c r="J114" s="10">
        <f t="shared" si="27"/>
        <v>0</v>
      </c>
      <c r="K114" s="38">
        <f t="shared" si="28"/>
        <v>0</v>
      </c>
      <c r="L114" s="22"/>
      <c r="M114" s="18">
        <f t="shared" si="29"/>
        <v>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7"/>
      <c r="B115" s="18"/>
      <c r="C115" s="20"/>
      <c r="D115" s="20"/>
      <c r="E115" s="20"/>
      <c r="F115" s="20"/>
      <c r="G115" s="20">
        <f t="shared" si="25"/>
        <v>0</v>
      </c>
      <c r="H115" s="13" t="str">
        <f t="shared" si="26"/>
        <v>#DIV/0!</v>
      </c>
      <c r="I115" s="39"/>
      <c r="J115" s="10">
        <f t="shared" si="27"/>
        <v>0</v>
      </c>
      <c r="K115" s="38">
        <f t="shared" si="28"/>
        <v>0</v>
      </c>
      <c r="L115" s="22"/>
      <c r="M115" s="18">
        <f t="shared" si="29"/>
        <v>0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7"/>
      <c r="B116" s="18"/>
      <c r="C116" s="20"/>
      <c r="D116" s="20"/>
      <c r="E116" s="20"/>
      <c r="F116" s="20"/>
      <c r="G116" s="20">
        <f t="shared" si="25"/>
        <v>0</v>
      </c>
      <c r="H116" s="13" t="str">
        <f t="shared" si="26"/>
        <v>#DIV/0!</v>
      </c>
      <c r="I116" s="39"/>
      <c r="J116" s="10">
        <f t="shared" si="27"/>
        <v>0</v>
      </c>
      <c r="K116" s="38">
        <f t="shared" si="28"/>
        <v>0</v>
      </c>
      <c r="L116" s="22"/>
      <c r="M116" s="18">
        <f t="shared" si="29"/>
        <v>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7"/>
      <c r="B117" s="25"/>
      <c r="C117" s="20"/>
      <c r="D117" s="20"/>
      <c r="E117" s="20"/>
      <c r="F117" s="20"/>
      <c r="G117" s="20">
        <f t="shared" si="25"/>
        <v>0</v>
      </c>
      <c r="H117" s="13" t="str">
        <f t="shared" si="26"/>
        <v>#DIV/0!</v>
      </c>
      <c r="I117" s="39"/>
      <c r="J117" s="10">
        <f t="shared" si="27"/>
        <v>0</v>
      </c>
      <c r="K117" s="38">
        <f t="shared" si="28"/>
        <v>0</v>
      </c>
      <c r="L117" s="22"/>
      <c r="M117" s="18">
        <f t="shared" si="29"/>
        <v>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7"/>
      <c r="B118" s="25" t="s">
        <v>23</v>
      </c>
      <c r="C118" s="20"/>
      <c r="D118" s="20"/>
      <c r="E118" s="20"/>
      <c r="F118" s="20"/>
      <c r="G118" s="20">
        <f t="shared" si="25"/>
        <v>0</v>
      </c>
      <c r="H118" s="13" t="str">
        <f t="shared" si="26"/>
        <v>#DIV/0!</v>
      </c>
      <c r="I118" s="39"/>
      <c r="J118" s="10">
        <f t="shared" si="27"/>
        <v>80600</v>
      </c>
      <c r="K118" s="38">
        <f t="shared" si="28"/>
        <v>80600</v>
      </c>
      <c r="L118" s="22"/>
      <c r="M118" s="18">
        <f t="shared" si="29"/>
        <v>80600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6" t="s">
        <v>24</v>
      </c>
      <c r="B119" s="27"/>
      <c r="C119" s="28"/>
      <c r="D119" s="28"/>
      <c r="E119" s="28"/>
      <c r="F119" s="28"/>
      <c r="G119" s="28">
        <f t="shared" si="25"/>
        <v>0</v>
      </c>
      <c r="H119" s="40" t="str">
        <f t="shared" si="26"/>
        <v>#DIV/0!</v>
      </c>
      <c r="I119" s="39"/>
      <c r="J119" s="10">
        <f t="shared" si="27"/>
        <v>0</v>
      </c>
      <c r="K119" s="38">
        <f t="shared" si="28"/>
        <v>0</v>
      </c>
      <c r="L119" s="29"/>
      <c r="M119" s="25">
        <f t="shared" si="29"/>
        <v>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25"/>
      <c r="B120" s="25"/>
      <c r="C120" s="25"/>
      <c r="D120" s="25" t="s">
        <v>25</v>
      </c>
      <c r="E120" s="28">
        <f>SUM(E103:E119)</f>
        <v>0</v>
      </c>
      <c r="F120" s="25"/>
      <c r="G120" s="25"/>
      <c r="H120" s="25"/>
      <c r="I120" s="25"/>
      <c r="J120" s="5"/>
      <c r="K120" s="30" t="s">
        <v>26</v>
      </c>
      <c r="L120" s="30">
        <f>SUM(L103:L119)</f>
        <v>0</v>
      </c>
      <c r="M120" s="2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" t="s">
        <v>0</v>
      </c>
      <c r="B121" s="4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6"/>
      <c r="B122" s="7" t="s">
        <v>1</v>
      </c>
      <c r="C122" s="7" t="s">
        <v>2</v>
      </c>
      <c r="D122" s="7" t="s">
        <v>3</v>
      </c>
      <c r="E122" s="7" t="s">
        <v>4</v>
      </c>
      <c r="F122" s="7" t="s">
        <v>5</v>
      </c>
      <c r="G122" s="7" t="s">
        <v>6</v>
      </c>
      <c r="H122" s="7" t="s">
        <v>7</v>
      </c>
      <c r="I122" s="7" t="s">
        <v>8</v>
      </c>
      <c r="J122" s="7" t="s">
        <v>9</v>
      </c>
      <c r="K122" s="7" t="s">
        <v>10</v>
      </c>
      <c r="L122" s="7" t="s">
        <v>11</v>
      </c>
      <c r="M122" s="8" t="s">
        <v>12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9"/>
      <c r="B123" s="10" t="s">
        <v>13</v>
      </c>
      <c r="C123" s="12"/>
      <c r="D123" s="12"/>
      <c r="E123" s="12"/>
      <c r="F123" s="12"/>
      <c r="G123" s="12">
        <f t="shared" ref="G123:G139" si="30">C123-F123</f>
        <v>0</v>
      </c>
      <c r="H123" s="13" t="str">
        <f t="shared" ref="H123:H139" si="31">D123/G123</f>
        <v>#DIV/0!</v>
      </c>
      <c r="I123" s="42"/>
      <c r="J123" s="10">
        <f t="shared" ref="J123:J139" si="32">M103</f>
        <v>367.5</v>
      </c>
      <c r="K123" s="36">
        <f t="shared" ref="K123:K139" si="33">(G123*I123)+J123</f>
        <v>367.5</v>
      </c>
      <c r="L123" s="32"/>
      <c r="M123" s="10">
        <f t="shared" ref="M123:M139" si="34">K123-L123</f>
        <v>367.5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7">
        <v>1.07</v>
      </c>
      <c r="B124" s="18" t="s">
        <v>14</v>
      </c>
      <c r="C124" s="20"/>
      <c r="D124" s="20"/>
      <c r="E124" s="20"/>
      <c r="F124" s="20"/>
      <c r="G124" s="20">
        <f t="shared" si="30"/>
        <v>0</v>
      </c>
      <c r="H124" s="13" t="str">
        <f t="shared" si="31"/>
        <v>#DIV/0!</v>
      </c>
      <c r="I124" s="39"/>
      <c r="J124" s="10">
        <f t="shared" si="32"/>
        <v>85684</v>
      </c>
      <c r="K124" s="38">
        <f t="shared" si="33"/>
        <v>85684</v>
      </c>
      <c r="L124" s="22"/>
      <c r="M124" s="18">
        <f t="shared" si="34"/>
        <v>85684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7">
        <v>0.96</v>
      </c>
      <c r="B125" s="18" t="s">
        <v>15</v>
      </c>
      <c r="C125" s="20"/>
      <c r="D125" s="20"/>
      <c r="E125" s="20"/>
      <c r="F125" s="20"/>
      <c r="G125" s="20">
        <f t="shared" si="30"/>
        <v>0</v>
      </c>
      <c r="H125" s="13" t="str">
        <f t="shared" si="31"/>
        <v>#DIV/0!</v>
      </c>
      <c r="I125" s="39"/>
      <c r="J125" s="10">
        <f t="shared" si="32"/>
        <v>72253</v>
      </c>
      <c r="K125" s="38">
        <f t="shared" si="33"/>
        <v>72253</v>
      </c>
      <c r="L125" s="22"/>
      <c r="M125" s="18">
        <f t="shared" si="34"/>
        <v>72253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7">
        <v>0.865</v>
      </c>
      <c r="B126" s="18" t="s">
        <v>16</v>
      </c>
      <c r="C126" s="20"/>
      <c r="D126" s="20"/>
      <c r="E126" s="20"/>
      <c r="F126" s="20"/>
      <c r="G126" s="20">
        <f t="shared" si="30"/>
        <v>0</v>
      </c>
      <c r="H126" s="13" t="str">
        <f t="shared" si="31"/>
        <v>#DIV/0!</v>
      </c>
      <c r="I126" s="39"/>
      <c r="J126" s="10">
        <f t="shared" si="32"/>
        <v>720</v>
      </c>
      <c r="K126" s="38">
        <f t="shared" si="33"/>
        <v>720</v>
      </c>
      <c r="L126" s="22"/>
      <c r="M126" s="18">
        <f t="shared" si="34"/>
        <v>720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7">
        <v>0.885</v>
      </c>
      <c r="B127" s="18" t="s">
        <v>17</v>
      </c>
      <c r="C127" s="20"/>
      <c r="D127" s="20"/>
      <c r="E127" s="20"/>
      <c r="F127" s="20"/>
      <c r="G127" s="20">
        <f t="shared" si="30"/>
        <v>0</v>
      </c>
      <c r="H127" s="13" t="str">
        <f t="shared" si="31"/>
        <v>#DIV/0!</v>
      </c>
      <c r="I127" s="39"/>
      <c r="J127" s="10">
        <f t="shared" si="32"/>
        <v>81</v>
      </c>
      <c r="K127" s="38">
        <f t="shared" si="33"/>
        <v>81</v>
      </c>
      <c r="L127" s="22"/>
      <c r="M127" s="18">
        <f t="shared" si="34"/>
        <v>81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7"/>
      <c r="B128" s="18" t="s">
        <v>18</v>
      </c>
      <c r="C128" s="20"/>
      <c r="D128" s="20"/>
      <c r="E128" s="20"/>
      <c r="F128" s="20"/>
      <c r="G128" s="20">
        <f t="shared" si="30"/>
        <v>0</v>
      </c>
      <c r="H128" s="13" t="str">
        <f t="shared" si="31"/>
        <v>#DIV/0!</v>
      </c>
      <c r="I128" s="39"/>
      <c r="J128" s="10">
        <f t="shared" si="32"/>
        <v>668</v>
      </c>
      <c r="K128" s="38">
        <f t="shared" si="33"/>
        <v>668</v>
      </c>
      <c r="L128" s="22"/>
      <c r="M128" s="18">
        <f t="shared" si="34"/>
        <v>668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7">
        <v>0.85</v>
      </c>
      <c r="B129" s="18" t="s">
        <v>19</v>
      </c>
      <c r="C129" s="20"/>
      <c r="D129" s="20"/>
      <c r="E129" s="20"/>
      <c r="F129" s="20"/>
      <c r="G129" s="20">
        <f t="shared" si="30"/>
        <v>0</v>
      </c>
      <c r="H129" s="13" t="str">
        <f t="shared" si="31"/>
        <v>#DIV/0!</v>
      </c>
      <c r="I129" s="39"/>
      <c r="J129" s="10">
        <f t="shared" si="32"/>
        <v>360</v>
      </c>
      <c r="K129" s="38">
        <f t="shared" si="33"/>
        <v>360</v>
      </c>
      <c r="L129" s="22"/>
      <c r="M129" s="18">
        <f t="shared" si="34"/>
        <v>360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7">
        <v>0.93</v>
      </c>
      <c r="B130" s="18" t="s">
        <v>20</v>
      </c>
      <c r="C130" s="20"/>
      <c r="D130" s="20"/>
      <c r="E130" s="20"/>
      <c r="F130" s="20"/>
      <c r="G130" s="20">
        <f t="shared" si="30"/>
        <v>0</v>
      </c>
      <c r="H130" s="13" t="str">
        <f t="shared" si="31"/>
        <v>#DIV/0!</v>
      </c>
      <c r="I130" s="39"/>
      <c r="J130" s="10">
        <f t="shared" si="32"/>
        <v>-275</v>
      </c>
      <c r="K130" s="38">
        <f t="shared" si="33"/>
        <v>-275</v>
      </c>
      <c r="L130" s="22"/>
      <c r="M130" s="18">
        <f t="shared" si="34"/>
        <v>-275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7">
        <v>0.96</v>
      </c>
      <c r="B131" s="18" t="s">
        <v>21</v>
      </c>
      <c r="C131" s="20"/>
      <c r="D131" s="20"/>
      <c r="E131" s="20"/>
      <c r="F131" s="20"/>
      <c r="G131" s="20">
        <f t="shared" si="30"/>
        <v>0</v>
      </c>
      <c r="H131" s="13" t="str">
        <f t="shared" si="31"/>
        <v>#DIV/0!</v>
      </c>
      <c r="I131" s="39"/>
      <c r="J131" s="10">
        <f t="shared" si="32"/>
        <v>7</v>
      </c>
      <c r="K131" s="38">
        <f t="shared" si="33"/>
        <v>7</v>
      </c>
      <c r="L131" s="22"/>
      <c r="M131" s="18">
        <f t="shared" si="34"/>
        <v>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7">
        <v>0.815</v>
      </c>
      <c r="B132" s="18" t="s">
        <v>22</v>
      </c>
      <c r="C132" s="20"/>
      <c r="D132" s="20"/>
      <c r="E132" s="20"/>
      <c r="F132" s="20"/>
      <c r="G132" s="20">
        <f t="shared" si="30"/>
        <v>0</v>
      </c>
      <c r="H132" s="13" t="str">
        <f t="shared" si="31"/>
        <v>#DIV/0!</v>
      </c>
      <c r="I132" s="39"/>
      <c r="J132" s="10">
        <f t="shared" si="32"/>
        <v>649</v>
      </c>
      <c r="K132" s="38">
        <f t="shared" si="33"/>
        <v>649</v>
      </c>
      <c r="L132" s="22"/>
      <c r="M132" s="18">
        <f t="shared" si="34"/>
        <v>649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7"/>
      <c r="B133" s="18"/>
      <c r="C133" s="20"/>
      <c r="D133" s="20"/>
      <c r="E133" s="20"/>
      <c r="F133" s="20"/>
      <c r="G133" s="20">
        <f t="shared" si="30"/>
        <v>0</v>
      </c>
      <c r="H133" s="13" t="str">
        <f t="shared" si="31"/>
        <v>#DIV/0!</v>
      </c>
      <c r="I133" s="39"/>
      <c r="J133" s="10">
        <f t="shared" si="32"/>
        <v>0</v>
      </c>
      <c r="K133" s="38">
        <f t="shared" si="33"/>
        <v>0</v>
      </c>
      <c r="L133" s="22"/>
      <c r="M133" s="18">
        <f t="shared" si="34"/>
        <v>0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7"/>
      <c r="B134" s="18"/>
      <c r="C134" s="20"/>
      <c r="D134" s="20"/>
      <c r="E134" s="20"/>
      <c r="F134" s="20"/>
      <c r="G134" s="20">
        <f t="shared" si="30"/>
        <v>0</v>
      </c>
      <c r="H134" s="13" t="str">
        <f t="shared" si="31"/>
        <v>#DIV/0!</v>
      </c>
      <c r="I134" s="39"/>
      <c r="J134" s="10">
        <f t="shared" si="32"/>
        <v>0</v>
      </c>
      <c r="K134" s="38">
        <f t="shared" si="33"/>
        <v>0</v>
      </c>
      <c r="L134" s="22"/>
      <c r="M134" s="18">
        <f t="shared" si="34"/>
        <v>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7"/>
      <c r="B135" s="18"/>
      <c r="C135" s="20"/>
      <c r="D135" s="20"/>
      <c r="E135" s="20"/>
      <c r="F135" s="20"/>
      <c r="G135" s="20">
        <f t="shared" si="30"/>
        <v>0</v>
      </c>
      <c r="H135" s="13" t="str">
        <f t="shared" si="31"/>
        <v>#DIV/0!</v>
      </c>
      <c r="I135" s="39"/>
      <c r="J135" s="10">
        <f t="shared" si="32"/>
        <v>0</v>
      </c>
      <c r="K135" s="38">
        <f t="shared" si="33"/>
        <v>0</v>
      </c>
      <c r="L135" s="22"/>
      <c r="M135" s="18">
        <f t="shared" si="34"/>
        <v>0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7"/>
      <c r="B136" s="18"/>
      <c r="C136" s="20"/>
      <c r="D136" s="20"/>
      <c r="E136" s="20"/>
      <c r="F136" s="20"/>
      <c r="G136" s="20">
        <f t="shared" si="30"/>
        <v>0</v>
      </c>
      <c r="H136" s="13" t="str">
        <f t="shared" si="31"/>
        <v>#DIV/0!</v>
      </c>
      <c r="I136" s="39"/>
      <c r="J136" s="10">
        <f t="shared" si="32"/>
        <v>0</v>
      </c>
      <c r="K136" s="38">
        <f t="shared" si="33"/>
        <v>0</v>
      </c>
      <c r="L136" s="22"/>
      <c r="M136" s="18">
        <f t="shared" si="34"/>
        <v>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7"/>
      <c r="B137" s="25"/>
      <c r="C137" s="20"/>
      <c r="D137" s="20"/>
      <c r="E137" s="20"/>
      <c r="F137" s="20"/>
      <c r="G137" s="20">
        <f t="shared" si="30"/>
        <v>0</v>
      </c>
      <c r="H137" s="13" t="str">
        <f t="shared" si="31"/>
        <v>#DIV/0!</v>
      </c>
      <c r="I137" s="39"/>
      <c r="J137" s="10">
        <f t="shared" si="32"/>
        <v>0</v>
      </c>
      <c r="K137" s="38">
        <f t="shared" si="33"/>
        <v>0</v>
      </c>
      <c r="L137" s="22"/>
      <c r="M137" s="18">
        <f t="shared" si="34"/>
        <v>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7"/>
      <c r="B138" s="25" t="s">
        <v>23</v>
      </c>
      <c r="C138" s="20"/>
      <c r="D138" s="20"/>
      <c r="E138" s="20"/>
      <c r="F138" s="20"/>
      <c r="G138" s="20">
        <f t="shared" si="30"/>
        <v>0</v>
      </c>
      <c r="H138" s="13" t="str">
        <f t="shared" si="31"/>
        <v>#DIV/0!</v>
      </c>
      <c r="I138" s="39"/>
      <c r="J138" s="10">
        <f t="shared" si="32"/>
        <v>80600</v>
      </c>
      <c r="K138" s="38">
        <f t="shared" si="33"/>
        <v>80600</v>
      </c>
      <c r="L138" s="22"/>
      <c r="M138" s="18">
        <f t="shared" si="34"/>
        <v>80600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26" t="s">
        <v>24</v>
      </c>
      <c r="B139" s="27"/>
      <c r="C139" s="28"/>
      <c r="D139" s="28"/>
      <c r="E139" s="28"/>
      <c r="F139" s="28"/>
      <c r="G139" s="28">
        <f t="shared" si="30"/>
        <v>0</v>
      </c>
      <c r="H139" s="40" t="str">
        <f t="shared" si="31"/>
        <v>#DIV/0!</v>
      </c>
      <c r="I139" s="39"/>
      <c r="J139" s="10">
        <f t="shared" si="32"/>
        <v>0</v>
      </c>
      <c r="K139" s="38">
        <f t="shared" si="33"/>
        <v>0</v>
      </c>
      <c r="L139" s="29"/>
      <c r="M139" s="25">
        <f t="shared" si="34"/>
        <v>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25"/>
      <c r="B140" s="25"/>
      <c r="C140" s="25"/>
      <c r="D140" s="25" t="s">
        <v>25</v>
      </c>
      <c r="E140" s="28">
        <f>SUM(E123:E139)</f>
        <v>0</v>
      </c>
      <c r="F140" s="25"/>
      <c r="G140" s="25"/>
      <c r="H140" s="25"/>
      <c r="I140" s="25"/>
      <c r="J140" s="5"/>
      <c r="K140" s="30" t="s">
        <v>26</v>
      </c>
      <c r="L140" s="30">
        <f>SUM(L123:L139)</f>
        <v>0</v>
      </c>
      <c r="M140" s="2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3" t="s">
        <v>30</v>
      </c>
      <c r="L143" s="5">
        <f>L20+L40+L60+L80+L100+L120+L140</f>
        <v>404000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3" t="s">
        <v>28</v>
      </c>
      <c r="L145" s="34">
        <f>E20+E40+E60+E80+E100+E120+E140</f>
        <v>91.24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H3:H19">
    <cfRule type="cellIs" dxfId="0" priority="1" operator="between">
      <formula>0</formula>
      <formula>0.7399</formula>
    </cfRule>
  </conditionalFormatting>
  <conditionalFormatting sqref="H3:H19">
    <cfRule type="cellIs" dxfId="1" priority="2" operator="between">
      <formula>0.74</formula>
      <formula>0.7499</formula>
    </cfRule>
  </conditionalFormatting>
  <conditionalFormatting sqref="H3:H19">
    <cfRule type="cellIs" dxfId="2" priority="3" operator="between">
      <formula>75%</formula>
      <formula>100%</formula>
    </cfRule>
  </conditionalFormatting>
  <conditionalFormatting sqref="H23:H39">
    <cfRule type="cellIs" dxfId="0" priority="4" operator="between">
      <formula>0</formula>
      <formula>0.7399</formula>
    </cfRule>
  </conditionalFormatting>
  <conditionalFormatting sqref="H23:H39">
    <cfRule type="cellIs" dxfId="1" priority="5" operator="between">
      <formula>0.74</formula>
      <formula>0.7499</formula>
    </cfRule>
  </conditionalFormatting>
  <conditionalFormatting sqref="H23:H39">
    <cfRule type="cellIs" dxfId="2" priority="6" operator="between">
      <formula>75%</formula>
      <formula>100%</formula>
    </cfRule>
  </conditionalFormatting>
  <conditionalFormatting sqref="H43:H59">
    <cfRule type="cellIs" dxfId="0" priority="7" operator="between">
      <formula>0</formula>
      <formula>0.7399</formula>
    </cfRule>
  </conditionalFormatting>
  <conditionalFormatting sqref="H43:H59">
    <cfRule type="cellIs" dxfId="1" priority="8" operator="between">
      <formula>0.74</formula>
      <formula>0.7499</formula>
    </cfRule>
  </conditionalFormatting>
  <conditionalFormatting sqref="H43:H59">
    <cfRule type="cellIs" dxfId="2" priority="9" operator="between">
      <formula>75%</formula>
      <formula>100%</formula>
    </cfRule>
  </conditionalFormatting>
  <conditionalFormatting sqref="H63:H79">
    <cfRule type="cellIs" dxfId="0" priority="10" operator="between">
      <formula>0</formula>
      <formula>0.7399</formula>
    </cfRule>
  </conditionalFormatting>
  <conditionalFormatting sqref="H63:H79">
    <cfRule type="cellIs" dxfId="1" priority="11" operator="between">
      <formula>0.74</formula>
      <formula>0.7499</formula>
    </cfRule>
  </conditionalFormatting>
  <conditionalFormatting sqref="H63:H79">
    <cfRule type="cellIs" dxfId="2" priority="12" operator="between">
      <formula>75%</formula>
      <formula>100%</formula>
    </cfRule>
  </conditionalFormatting>
  <conditionalFormatting sqref="H83:H99">
    <cfRule type="cellIs" dxfId="0" priority="13" operator="between">
      <formula>0</formula>
      <formula>0.7399</formula>
    </cfRule>
  </conditionalFormatting>
  <conditionalFormatting sqref="H83:H99">
    <cfRule type="cellIs" dxfId="1" priority="14" operator="between">
      <formula>0.74</formula>
      <formula>0.7499</formula>
    </cfRule>
  </conditionalFormatting>
  <conditionalFormatting sqref="H83:H99">
    <cfRule type="cellIs" dxfId="2" priority="15" operator="between">
      <formula>75%</formula>
      <formula>100%</formula>
    </cfRule>
  </conditionalFormatting>
  <conditionalFormatting sqref="H103:H119">
    <cfRule type="cellIs" dxfId="0" priority="16" operator="between">
      <formula>0</formula>
      <formula>0.7399</formula>
    </cfRule>
  </conditionalFormatting>
  <conditionalFormatting sqref="H103:H119">
    <cfRule type="cellIs" dxfId="1" priority="17" operator="between">
      <formula>0.74</formula>
      <formula>0.7499</formula>
    </cfRule>
  </conditionalFormatting>
  <conditionalFormatting sqref="H103:H119">
    <cfRule type="cellIs" dxfId="2" priority="18" operator="between">
      <formula>75%</formula>
      <formula>100%</formula>
    </cfRule>
  </conditionalFormatting>
  <conditionalFormatting sqref="H123:H139">
    <cfRule type="cellIs" dxfId="0" priority="19" operator="between">
      <formula>0</formula>
      <formula>0.7399</formula>
    </cfRule>
  </conditionalFormatting>
  <conditionalFormatting sqref="H123:H139">
    <cfRule type="cellIs" dxfId="1" priority="20" operator="between">
      <formula>0.74</formula>
      <formula>0.7499</formula>
    </cfRule>
  </conditionalFormatting>
  <conditionalFormatting sqref="H123:H139">
    <cfRule type="cellIs" dxfId="2" priority="21" operator="between">
      <formula>75%</formula>
      <formula>100%</formula>
    </cfRule>
  </conditionalFormatting>
  <dataValidations>
    <dataValidation type="list" allowBlank="1" showErrorMessage="1" sqref="I1 I3:I19 I23:I39 I43:I59 I63:I79 I83:I99 I103:I119 I123:I139">
      <formula1>"2400,2700,3000"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86"/>
    <col customWidth="1" min="3" max="3" width="13.43"/>
    <col customWidth="1" min="4" max="5" width="13.14"/>
    <col customWidth="1" min="6" max="6" width="13.0"/>
    <col customWidth="1" min="7" max="7" width="14.14"/>
    <col customWidth="1" min="8" max="8" width="15.43"/>
    <col customWidth="1" min="9" max="9" width="17.71"/>
    <col customWidth="1" min="10" max="10" width="13.0"/>
    <col customWidth="1" min="11" max="11" width="12.0"/>
    <col customWidth="1" min="12" max="12" width="11.86"/>
    <col customWidth="1" min="13" max="13" width="12.14"/>
    <col customWidth="1" min="14" max="26" width="9.14"/>
  </cols>
  <sheetData>
    <row r="1" ht="20.25" customHeight="1">
      <c r="A1" s="1" t="s">
        <v>0</v>
      </c>
      <c r="B1" s="41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0.75" customHeight="1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8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9"/>
      <c r="B3" s="10" t="s">
        <v>13</v>
      </c>
      <c r="C3" s="12"/>
      <c r="D3" s="12"/>
      <c r="E3" s="12"/>
      <c r="F3" s="12"/>
      <c r="G3" s="12">
        <f t="shared" ref="G3:G19" si="1">C3-F3</f>
        <v>0</v>
      </c>
      <c r="H3" s="13" t="str">
        <f t="shared" ref="H3:H19" si="2">D3/G3</f>
        <v>#DIV/0!</v>
      </c>
      <c r="I3" s="42"/>
      <c r="J3" s="10">
        <f>'2nd Week'!M123</f>
        <v>367.5</v>
      </c>
      <c r="K3" s="36">
        <f t="shared" ref="K3:K19" si="3">(G3*I3)+J3</f>
        <v>367.5</v>
      </c>
      <c r="L3" s="32"/>
      <c r="M3" s="10">
        <f t="shared" ref="M3:M19" si="4">K3-L3</f>
        <v>367.5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7">
        <v>1.07</v>
      </c>
      <c r="B4" s="18" t="s">
        <v>14</v>
      </c>
      <c r="C4" s="20"/>
      <c r="D4" s="20"/>
      <c r="E4" s="20"/>
      <c r="F4" s="20"/>
      <c r="G4" s="20">
        <f t="shared" si="1"/>
        <v>0</v>
      </c>
      <c r="H4" s="13" t="str">
        <f t="shared" si="2"/>
        <v>#DIV/0!</v>
      </c>
      <c r="I4" s="39"/>
      <c r="J4" s="10">
        <f>'2nd Week'!M124</f>
        <v>85684</v>
      </c>
      <c r="K4" s="38">
        <f t="shared" si="3"/>
        <v>85684</v>
      </c>
      <c r="L4" s="22"/>
      <c r="M4" s="18">
        <f t="shared" si="4"/>
        <v>85684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7">
        <v>0.96</v>
      </c>
      <c r="B5" s="18" t="s">
        <v>15</v>
      </c>
      <c r="C5" s="20"/>
      <c r="D5" s="20"/>
      <c r="E5" s="20"/>
      <c r="F5" s="20"/>
      <c r="G5" s="20">
        <f t="shared" si="1"/>
        <v>0</v>
      </c>
      <c r="H5" s="13" t="str">
        <f t="shared" si="2"/>
        <v>#DIV/0!</v>
      </c>
      <c r="I5" s="39"/>
      <c r="J5" s="10">
        <f>'2nd Week'!M125</f>
        <v>72253</v>
      </c>
      <c r="K5" s="38">
        <f t="shared" si="3"/>
        <v>72253</v>
      </c>
      <c r="L5" s="22"/>
      <c r="M5" s="18">
        <f t="shared" si="4"/>
        <v>72253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7">
        <v>0.865</v>
      </c>
      <c r="B6" s="18" t="s">
        <v>16</v>
      </c>
      <c r="C6" s="20"/>
      <c r="D6" s="20"/>
      <c r="E6" s="20"/>
      <c r="F6" s="20"/>
      <c r="G6" s="20">
        <f t="shared" si="1"/>
        <v>0</v>
      </c>
      <c r="H6" s="13" t="str">
        <f t="shared" si="2"/>
        <v>#DIV/0!</v>
      </c>
      <c r="I6" s="39"/>
      <c r="J6" s="10">
        <f>'2nd Week'!M126</f>
        <v>720</v>
      </c>
      <c r="K6" s="38">
        <f t="shared" si="3"/>
        <v>720</v>
      </c>
      <c r="L6" s="22"/>
      <c r="M6" s="18">
        <f t="shared" si="4"/>
        <v>720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7">
        <v>0.885</v>
      </c>
      <c r="B7" s="18" t="s">
        <v>17</v>
      </c>
      <c r="C7" s="20"/>
      <c r="D7" s="20"/>
      <c r="E7" s="20"/>
      <c r="F7" s="20"/>
      <c r="G7" s="20">
        <f t="shared" si="1"/>
        <v>0</v>
      </c>
      <c r="H7" s="13" t="str">
        <f t="shared" si="2"/>
        <v>#DIV/0!</v>
      </c>
      <c r="I7" s="39"/>
      <c r="J7" s="10">
        <f>'2nd Week'!M127</f>
        <v>81</v>
      </c>
      <c r="K7" s="38">
        <f t="shared" si="3"/>
        <v>81</v>
      </c>
      <c r="L7" s="22"/>
      <c r="M7" s="18">
        <f t="shared" si="4"/>
        <v>81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7"/>
      <c r="B8" s="18" t="s">
        <v>18</v>
      </c>
      <c r="C8" s="20"/>
      <c r="D8" s="20"/>
      <c r="E8" s="20"/>
      <c r="F8" s="20"/>
      <c r="G8" s="20">
        <f t="shared" si="1"/>
        <v>0</v>
      </c>
      <c r="H8" s="13" t="str">
        <f t="shared" si="2"/>
        <v>#DIV/0!</v>
      </c>
      <c r="I8" s="39"/>
      <c r="J8" s="10">
        <f>'2nd Week'!M128</f>
        <v>668</v>
      </c>
      <c r="K8" s="38">
        <f t="shared" si="3"/>
        <v>668</v>
      </c>
      <c r="L8" s="22"/>
      <c r="M8" s="18">
        <f t="shared" si="4"/>
        <v>668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7">
        <v>0.85</v>
      </c>
      <c r="B9" s="18" t="s">
        <v>19</v>
      </c>
      <c r="C9" s="20"/>
      <c r="D9" s="20"/>
      <c r="E9" s="20"/>
      <c r="F9" s="20"/>
      <c r="G9" s="20">
        <f t="shared" si="1"/>
        <v>0</v>
      </c>
      <c r="H9" s="13" t="str">
        <f t="shared" si="2"/>
        <v>#DIV/0!</v>
      </c>
      <c r="I9" s="39"/>
      <c r="J9" s="10">
        <f>'2nd Week'!M129</f>
        <v>360</v>
      </c>
      <c r="K9" s="38">
        <f t="shared" si="3"/>
        <v>360</v>
      </c>
      <c r="L9" s="22"/>
      <c r="M9" s="18">
        <f t="shared" si="4"/>
        <v>360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7">
        <v>0.93</v>
      </c>
      <c r="B10" s="18" t="s">
        <v>20</v>
      </c>
      <c r="C10" s="20"/>
      <c r="D10" s="20"/>
      <c r="E10" s="20"/>
      <c r="F10" s="20"/>
      <c r="G10" s="20">
        <f t="shared" si="1"/>
        <v>0</v>
      </c>
      <c r="H10" s="13" t="str">
        <f t="shared" si="2"/>
        <v>#DIV/0!</v>
      </c>
      <c r="I10" s="39"/>
      <c r="J10" s="10">
        <f>'2nd Week'!M130</f>
        <v>-275</v>
      </c>
      <c r="K10" s="38">
        <f t="shared" si="3"/>
        <v>-275</v>
      </c>
      <c r="L10" s="22"/>
      <c r="M10" s="18">
        <f t="shared" si="4"/>
        <v>-275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7">
        <v>0.96</v>
      </c>
      <c r="B11" s="18" t="s">
        <v>21</v>
      </c>
      <c r="C11" s="20"/>
      <c r="D11" s="20"/>
      <c r="E11" s="20"/>
      <c r="F11" s="20"/>
      <c r="G11" s="20">
        <f t="shared" si="1"/>
        <v>0</v>
      </c>
      <c r="H11" s="13" t="str">
        <f t="shared" si="2"/>
        <v>#DIV/0!</v>
      </c>
      <c r="I11" s="39"/>
      <c r="J11" s="10">
        <f>'2nd Week'!M131</f>
        <v>7</v>
      </c>
      <c r="K11" s="38">
        <f t="shared" si="3"/>
        <v>7</v>
      </c>
      <c r="L11" s="22"/>
      <c r="M11" s="18">
        <f t="shared" si="4"/>
        <v>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7">
        <v>0.815</v>
      </c>
      <c r="B12" s="18" t="s">
        <v>22</v>
      </c>
      <c r="C12" s="20"/>
      <c r="D12" s="20"/>
      <c r="E12" s="20"/>
      <c r="F12" s="20"/>
      <c r="G12" s="20">
        <f t="shared" si="1"/>
        <v>0</v>
      </c>
      <c r="H12" s="13" t="str">
        <f t="shared" si="2"/>
        <v>#DIV/0!</v>
      </c>
      <c r="I12" s="39"/>
      <c r="J12" s="10">
        <f>'2nd Week'!M132</f>
        <v>649</v>
      </c>
      <c r="K12" s="38">
        <f t="shared" si="3"/>
        <v>649</v>
      </c>
      <c r="L12" s="22"/>
      <c r="M12" s="18">
        <f t="shared" si="4"/>
        <v>649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7"/>
      <c r="B13" s="18"/>
      <c r="C13" s="20"/>
      <c r="D13" s="20"/>
      <c r="E13" s="20"/>
      <c r="F13" s="20"/>
      <c r="G13" s="20">
        <f t="shared" si="1"/>
        <v>0</v>
      </c>
      <c r="H13" s="13" t="str">
        <f t="shared" si="2"/>
        <v>#DIV/0!</v>
      </c>
      <c r="I13" s="39"/>
      <c r="J13" s="10">
        <f>'2nd Week'!M133</f>
        <v>0</v>
      </c>
      <c r="K13" s="38">
        <f t="shared" si="3"/>
        <v>0</v>
      </c>
      <c r="L13" s="22"/>
      <c r="M13" s="18">
        <f t="shared" si="4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7"/>
      <c r="B14" s="18"/>
      <c r="C14" s="20"/>
      <c r="D14" s="20"/>
      <c r="E14" s="20"/>
      <c r="F14" s="20"/>
      <c r="G14" s="20">
        <f t="shared" si="1"/>
        <v>0</v>
      </c>
      <c r="H14" s="13" t="str">
        <f t="shared" si="2"/>
        <v>#DIV/0!</v>
      </c>
      <c r="I14" s="39"/>
      <c r="J14" s="10">
        <f>'2nd Week'!M134</f>
        <v>0</v>
      </c>
      <c r="K14" s="38">
        <f t="shared" si="3"/>
        <v>0</v>
      </c>
      <c r="L14" s="22"/>
      <c r="M14" s="18">
        <f t="shared" si="4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7"/>
      <c r="B15" s="18"/>
      <c r="C15" s="20"/>
      <c r="D15" s="20"/>
      <c r="E15" s="20"/>
      <c r="F15" s="20"/>
      <c r="G15" s="20">
        <f t="shared" si="1"/>
        <v>0</v>
      </c>
      <c r="H15" s="13" t="str">
        <f t="shared" si="2"/>
        <v>#DIV/0!</v>
      </c>
      <c r="I15" s="39"/>
      <c r="J15" s="10">
        <f>'2nd Week'!M135</f>
        <v>0</v>
      </c>
      <c r="K15" s="38">
        <f t="shared" si="3"/>
        <v>0</v>
      </c>
      <c r="L15" s="22"/>
      <c r="M15" s="18">
        <f t="shared" si="4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7"/>
      <c r="B16" s="18"/>
      <c r="C16" s="20"/>
      <c r="D16" s="20"/>
      <c r="E16" s="20"/>
      <c r="F16" s="20"/>
      <c r="G16" s="20">
        <f t="shared" si="1"/>
        <v>0</v>
      </c>
      <c r="H16" s="13" t="str">
        <f t="shared" si="2"/>
        <v>#DIV/0!</v>
      </c>
      <c r="I16" s="39"/>
      <c r="J16" s="10">
        <f>'2nd Week'!M136</f>
        <v>0</v>
      </c>
      <c r="K16" s="38">
        <f t="shared" si="3"/>
        <v>0</v>
      </c>
      <c r="L16" s="22"/>
      <c r="M16" s="18">
        <f t="shared" si="4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7"/>
      <c r="B17" s="25"/>
      <c r="C17" s="20"/>
      <c r="D17" s="20"/>
      <c r="E17" s="20"/>
      <c r="F17" s="20"/>
      <c r="G17" s="20">
        <f t="shared" si="1"/>
        <v>0</v>
      </c>
      <c r="H17" s="13" t="str">
        <f t="shared" si="2"/>
        <v>#DIV/0!</v>
      </c>
      <c r="I17" s="39"/>
      <c r="J17" s="10">
        <f>'2nd Week'!M137</f>
        <v>0</v>
      </c>
      <c r="K17" s="38">
        <f t="shared" si="3"/>
        <v>0</v>
      </c>
      <c r="L17" s="22"/>
      <c r="M17" s="18">
        <f t="shared" si="4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7"/>
      <c r="B18" s="25" t="s">
        <v>23</v>
      </c>
      <c r="C18" s="20"/>
      <c r="D18" s="20"/>
      <c r="E18" s="20"/>
      <c r="F18" s="20"/>
      <c r="G18" s="20">
        <f t="shared" si="1"/>
        <v>0</v>
      </c>
      <c r="H18" s="13" t="str">
        <f t="shared" si="2"/>
        <v>#DIV/0!</v>
      </c>
      <c r="I18" s="39"/>
      <c r="J18" s="10">
        <f>'2nd Week'!M138</f>
        <v>80600</v>
      </c>
      <c r="K18" s="38">
        <f t="shared" si="3"/>
        <v>80600</v>
      </c>
      <c r="L18" s="22"/>
      <c r="M18" s="18">
        <f t="shared" si="4"/>
        <v>80600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6" t="s">
        <v>24</v>
      </c>
      <c r="B19" s="27"/>
      <c r="C19" s="28"/>
      <c r="D19" s="28"/>
      <c r="E19" s="28"/>
      <c r="F19" s="28"/>
      <c r="G19" s="28">
        <f t="shared" si="1"/>
        <v>0</v>
      </c>
      <c r="H19" s="40" t="str">
        <f t="shared" si="2"/>
        <v>#DIV/0!</v>
      </c>
      <c r="I19" s="39"/>
      <c r="J19" s="10">
        <f>'2nd Week'!M139</f>
        <v>0</v>
      </c>
      <c r="K19" s="38">
        <f t="shared" si="3"/>
        <v>0</v>
      </c>
      <c r="L19" s="29"/>
      <c r="M19" s="25">
        <f t="shared" si="4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5"/>
      <c r="B20" s="25"/>
      <c r="C20" s="25"/>
      <c r="D20" s="25" t="s">
        <v>25</v>
      </c>
      <c r="E20" s="28">
        <f>SUM(E3:E19)</f>
        <v>0</v>
      </c>
      <c r="F20" s="25"/>
      <c r="G20" s="25"/>
      <c r="H20" s="25"/>
      <c r="I20" s="25"/>
      <c r="J20" s="25"/>
      <c r="K20" s="30" t="s">
        <v>26</v>
      </c>
      <c r="L20" s="30">
        <f>SUM(L3:L19)</f>
        <v>0</v>
      </c>
      <c r="M20" s="2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" t="s">
        <v>0</v>
      </c>
      <c r="B21" s="41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"/>
      <c r="B22" s="7" t="s">
        <v>1</v>
      </c>
      <c r="C22" s="7" t="s">
        <v>2</v>
      </c>
      <c r="D22" s="7" t="s">
        <v>3</v>
      </c>
      <c r="E22" s="7" t="s">
        <v>4</v>
      </c>
      <c r="F22" s="7" t="s">
        <v>5</v>
      </c>
      <c r="G22" s="7" t="s">
        <v>6</v>
      </c>
      <c r="H22" s="7" t="s">
        <v>7</v>
      </c>
      <c r="I22" s="7" t="s">
        <v>8</v>
      </c>
      <c r="J22" s="7" t="s">
        <v>9</v>
      </c>
      <c r="K22" s="7" t="s">
        <v>10</v>
      </c>
      <c r="L22" s="7" t="s">
        <v>11</v>
      </c>
      <c r="M22" s="8" t="s">
        <v>12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9"/>
      <c r="B23" s="10" t="s">
        <v>13</v>
      </c>
      <c r="C23" s="12"/>
      <c r="D23" s="12"/>
      <c r="E23" s="12"/>
      <c r="F23" s="12"/>
      <c r="G23" s="12">
        <f t="shared" ref="G23:G39" si="5">C23-F23</f>
        <v>0</v>
      </c>
      <c r="H23" s="13" t="str">
        <f t="shared" ref="H23:H39" si="6">D23/G23</f>
        <v>#DIV/0!</v>
      </c>
      <c r="I23" s="42"/>
      <c r="J23" s="10">
        <f t="shared" ref="J23:J39" si="7">M3</f>
        <v>367.5</v>
      </c>
      <c r="K23" s="36">
        <f t="shared" ref="K23:K39" si="8">(G23*I23)+J23</f>
        <v>367.5</v>
      </c>
      <c r="L23" s="32"/>
      <c r="M23" s="10">
        <f t="shared" ref="M23:M39" si="9">K23-L23</f>
        <v>367.5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7">
        <v>1.07</v>
      </c>
      <c r="B24" s="18" t="s">
        <v>14</v>
      </c>
      <c r="C24" s="20"/>
      <c r="D24" s="20"/>
      <c r="E24" s="20"/>
      <c r="F24" s="20"/>
      <c r="G24" s="20">
        <f t="shared" si="5"/>
        <v>0</v>
      </c>
      <c r="H24" s="13" t="str">
        <f t="shared" si="6"/>
        <v>#DIV/0!</v>
      </c>
      <c r="I24" s="39"/>
      <c r="J24" s="10">
        <f t="shared" si="7"/>
        <v>85684</v>
      </c>
      <c r="K24" s="38">
        <f t="shared" si="8"/>
        <v>85684</v>
      </c>
      <c r="L24" s="22"/>
      <c r="M24" s="18">
        <f t="shared" si="9"/>
        <v>85684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7">
        <v>0.96</v>
      </c>
      <c r="B25" s="18" t="s">
        <v>15</v>
      </c>
      <c r="C25" s="20"/>
      <c r="D25" s="20"/>
      <c r="E25" s="20"/>
      <c r="F25" s="20"/>
      <c r="G25" s="20">
        <f t="shared" si="5"/>
        <v>0</v>
      </c>
      <c r="H25" s="13" t="str">
        <f t="shared" si="6"/>
        <v>#DIV/0!</v>
      </c>
      <c r="I25" s="39"/>
      <c r="J25" s="10">
        <f t="shared" si="7"/>
        <v>72253</v>
      </c>
      <c r="K25" s="38">
        <f t="shared" si="8"/>
        <v>72253</v>
      </c>
      <c r="L25" s="22"/>
      <c r="M25" s="18">
        <f t="shared" si="9"/>
        <v>72253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7">
        <v>0.865</v>
      </c>
      <c r="B26" s="18" t="s">
        <v>16</v>
      </c>
      <c r="C26" s="20"/>
      <c r="D26" s="20"/>
      <c r="E26" s="20"/>
      <c r="F26" s="20"/>
      <c r="G26" s="20">
        <f t="shared" si="5"/>
        <v>0</v>
      </c>
      <c r="H26" s="13" t="str">
        <f t="shared" si="6"/>
        <v>#DIV/0!</v>
      </c>
      <c r="I26" s="39"/>
      <c r="J26" s="10">
        <f t="shared" si="7"/>
        <v>720</v>
      </c>
      <c r="K26" s="38">
        <f t="shared" si="8"/>
        <v>720</v>
      </c>
      <c r="L26" s="22"/>
      <c r="M26" s="18">
        <f t="shared" si="9"/>
        <v>720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7">
        <v>0.885</v>
      </c>
      <c r="B27" s="18" t="s">
        <v>17</v>
      </c>
      <c r="C27" s="20"/>
      <c r="D27" s="20"/>
      <c r="E27" s="20"/>
      <c r="F27" s="20"/>
      <c r="G27" s="20">
        <f t="shared" si="5"/>
        <v>0</v>
      </c>
      <c r="H27" s="13" t="str">
        <f t="shared" si="6"/>
        <v>#DIV/0!</v>
      </c>
      <c r="I27" s="39"/>
      <c r="J27" s="10">
        <f t="shared" si="7"/>
        <v>81</v>
      </c>
      <c r="K27" s="38">
        <f t="shared" si="8"/>
        <v>81</v>
      </c>
      <c r="L27" s="22"/>
      <c r="M27" s="18">
        <f t="shared" si="9"/>
        <v>81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7"/>
      <c r="B28" s="18" t="s">
        <v>18</v>
      </c>
      <c r="C28" s="20"/>
      <c r="D28" s="20"/>
      <c r="E28" s="20"/>
      <c r="F28" s="20"/>
      <c r="G28" s="20">
        <f t="shared" si="5"/>
        <v>0</v>
      </c>
      <c r="H28" s="13" t="str">
        <f t="shared" si="6"/>
        <v>#DIV/0!</v>
      </c>
      <c r="I28" s="39"/>
      <c r="J28" s="10">
        <f t="shared" si="7"/>
        <v>668</v>
      </c>
      <c r="K28" s="38">
        <f t="shared" si="8"/>
        <v>668</v>
      </c>
      <c r="L28" s="22"/>
      <c r="M28" s="18">
        <f t="shared" si="9"/>
        <v>668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7">
        <v>0.85</v>
      </c>
      <c r="B29" s="18" t="s">
        <v>19</v>
      </c>
      <c r="C29" s="20"/>
      <c r="D29" s="20"/>
      <c r="E29" s="20"/>
      <c r="F29" s="20"/>
      <c r="G29" s="20">
        <f t="shared" si="5"/>
        <v>0</v>
      </c>
      <c r="H29" s="13" t="str">
        <f t="shared" si="6"/>
        <v>#DIV/0!</v>
      </c>
      <c r="I29" s="39"/>
      <c r="J29" s="10">
        <f t="shared" si="7"/>
        <v>360</v>
      </c>
      <c r="K29" s="38">
        <f t="shared" si="8"/>
        <v>360</v>
      </c>
      <c r="L29" s="22"/>
      <c r="M29" s="18">
        <f t="shared" si="9"/>
        <v>360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7">
        <v>0.93</v>
      </c>
      <c r="B30" s="18" t="s">
        <v>20</v>
      </c>
      <c r="C30" s="20"/>
      <c r="D30" s="20"/>
      <c r="E30" s="20"/>
      <c r="F30" s="20"/>
      <c r="G30" s="20">
        <f t="shared" si="5"/>
        <v>0</v>
      </c>
      <c r="H30" s="13" t="str">
        <f t="shared" si="6"/>
        <v>#DIV/0!</v>
      </c>
      <c r="I30" s="39"/>
      <c r="J30" s="10">
        <f t="shared" si="7"/>
        <v>-275</v>
      </c>
      <c r="K30" s="38">
        <f t="shared" si="8"/>
        <v>-275</v>
      </c>
      <c r="L30" s="22"/>
      <c r="M30" s="18">
        <f t="shared" si="9"/>
        <v>-275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7">
        <v>0.96</v>
      </c>
      <c r="B31" s="18" t="s">
        <v>21</v>
      </c>
      <c r="C31" s="20"/>
      <c r="D31" s="20"/>
      <c r="E31" s="20"/>
      <c r="F31" s="20"/>
      <c r="G31" s="20">
        <f t="shared" si="5"/>
        <v>0</v>
      </c>
      <c r="H31" s="13" t="str">
        <f t="shared" si="6"/>
        <v>#DIV/0!</v>
      </c>
      <c r="I31" s="39"/>
      <c r="J31" s="10">
        <f t="shared" si="7"/>
        <v>7</v>
      </c>
      <c r="K31" s="38">
        <f t="shared" si="8"/>
        <v>7</v>
      </c>
      <c r="L31" s="22"/>
      <c r="M31" s="18">
        <f t="shared" si="9"/>
        <v>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7">
        <v>0.815</v>
      </c>
      <c r="B32" s="18" t="s">
        <v>22</v>
      </c>
      <c r="C32" s="20"/>
      <c r="D32" s="20"/>
      <c r="E32" s="20"/>
      <c r="F32" s="20"/>
      <c r="G32" s="20">
        <f t="shared" si="5"/>
        <v>0</v>
      </c>
      <c r="H32" s="13" t="str">
        <f t="shared" si="6"/>
        <v>#DIV/0!</v>
      </c>
      <c r="I32" s="39"/>
      <c r="J32" s="10">
        <f t="shared" si="7"/>
        <v>649</v>
      </c>
      <c r="K32" s="38">
        <f t="shared" si="8"/>
        <v>649</v>
      </c>
      <c r="L32" s="22"/>
      <c r="M32" s="18">
        <f t="shared" si="9"/>
        <v>649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7"/>
      <c r="B33" s="18"/>
      <c r="C33" s="20"/>
      <c r="D33" s="20"/>
      <c r="E33" s="20"/>
      <c r="F33" s="20"/>
      <c r="G33" s="20">
        <f t="shared" si="5"/>
        <v>0</v>
      </c>
      <c r="H33" s="13" t="str">
        <f t="shared" si="6"/>
        <v>#DIV/0!</v>
      </c>
      <c r="I33" s="39"/>
      <c r="J33" s="10">
        <f t="shared" si="7"/>
        <v>0</v>
      </c>
      <c r="K33" s="38">
        <f t="shared" si="8"/>
        <v>0</v>
      </c>
      <c r="L33" s="22"/>
      <c r="M33" s="18">
        <f t="shared" si="9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7"/>
      <c r="B34" s="18"/>
      <c r="C34" s="20"/>
      <c r="D34" s="20"/>
      <c r="E34" s="20"/>
      <c r="F34" s="20"/>
      <c r="G34" s="20">
        <f t="shared" si="5"/>
        <v>0</v>
      </c>
      <c r="H34" s="13" t="str">
        <f t="shared" si="6"/>
        <v>#DIV/0!</v>
      </c>
      <c r="I34" s="39"/>
      <c r="J34" s="10">
        <f t="shared" si="7"/>
        <v>0</v>
      </c>
      <c r="K34" s="38">
        <f t="shared" si="8"/>
        <v>0</v>
      </c>
      <c r="L34" s="22"/>
      <c r="M34" s="18">
        <f t="shared" si="9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7"/>
      <c r="B35" s="18"/>
      <c r="C35" s="20"/>
      <c r="D35" s="20"/>
      <c r="E35" s="20"/>
      <c r="F35" s="20"/>
      <c r="G35" s="20">
        <f t="shared" si="5"/>
        <v>0</v>
      </c>
      <c r="H35" s="13" t="str">
        <f t="shared" si="6"/>
        <v>#DIV/0!</v>
      </c>
      <c r="I35" s="39"/>
      <c r="J35" s="10">
        <f t="shared" si="7"/>
        <v>0</v>
      </c>
      <c r="K35" s="38">
        <f t="shared" si="8"/>
        <v>0</v>
      </c>
      <c r="L35" s="22"/>
      <c r="M35" s="18">
        <f t="shared" si="9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7"/>
      <c r="B36" s="18"/>
      <c r="C36" s="20"/>
      <c r="D36" s="20"/>
      <c r="E36" s="20"/>
      <c r="F36" s="20"/>
      <c r="G36" s="20">
        <f t="shared" si="5"/>
        <v>0</v>
      </c>
      <c r="H36" s="13" t="str">
        <f t="shared" si="6"/>
        <v>#DIV/0!</v>
      </c>
      <c r="I36" s="39"/>
      <c r="J36" s="10">
        <f t="shared" si="7"/>
        <v>0</v>
      </c>
      <c r="K36" s="38">
        <f t="shared" si="8"/>
        <v>0</v>
      </c>
      <c r="L36" s="22"/>
      <c r="M36" s="18">
        <f t="shared" si="9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7"/>
      <c r="B37" s="25"/>
      <c r="C37" s="20"/>
      <c r="D37" s="20"/>
      <c r="E37" s="20"/>
      <c r="F37" s="20"/>
      <c r="G37" s="20">
        <f t="shared" si="5"/>
        <v>0</v>
      </c>
      <c r="H37" s="13" t="str">
        <f t="shared" si="6"/>
        <v>#DIV/0!</v>
      </c>
      <c r="I37" s="39"/>
      <c r="J37" s="10">
        <f t="shared" si="7"/>
        <v>0</v>
      </c>
      <c r="K37" s="38">
        <f t="shared" si="8"/>
        <v>0</v>
      </c>
      <c r="L37" s="22"/>
      <c r="M37" s="18">
        <f t="shared" si="9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7"/>
      <c r="B38" s="25" t="s">
        <v>23</v>
      </c>
      <c r="C38" s="20"/>
      <c r="D38" s="20"/>
      <c r="E38" s="20"/>
      <c r="F38" s="20"/>
      <c r="G38" s="20">
        <f t="shared" si="5"/>
        <v>0</v>
      </c>
      <c r="H38" s="13" t="str">
        <f t="shared" si="6"/>
        <v>#DIV/0!</v>
      </c>
      <c r="I38" s="39"/>
      <c r="J38" s="10">
        <f t="shared" si="7"/>
        <v>80600</v>
      </c>
      <c r="K38" s="38">
        <f t="shared" si="8"/>
        <v>80600</v>
      </c>
      <c r="L38" s="22"/>
      <c r="M38" s="18">
        <f t="shared" si="9"/>
        <v>80600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26" t="s">
        <v>24</v>
      </c>
      <c r="B39" s="27"/>
      <c r="C39" s="28"/>
      <c r="D39" s="28"/>
      <c r="E39" s="28"/>
      <c r="F39" s="28"/>
      <c r="G39" s="28">
        <f t="shared" si="5"/>
        <v>0</v>
      </c>
      <c r="H39" s="40" t="str">
        <f t="shared" si="6"/>
        <v>#DIV/0!</v>
      </c>
      <c r="I39" s="39"/>
      <c r="J39" s="10">
        <f t="shared" si="7"/>
        <v>0</v>
      </c>
      <c r="K39" s="38">
        <f t="shared" si="8"/>
        <v>0</v>
      </c>
      <c r="L39" s="29"/>
      <c r="M39" s="25">
        <f t="shared" si="9"/>
        <v>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25"/>
      <c r="B40" s="25"/>
      <c r="C40" s="25"/>
      <c r="D40" s="25" t="s">
        <v>25</v>
      </c>
      <c r="E40" s="28">
        <f>SUM(E23:E39)</f>
        <v>0</v>
      </c>
      <c r="F40" s="25"/>
      <c r="G40" s="25"/>
      <c r="H40" s="25"/>
      <c r="I40" s="25"/>
      <c r="J40" s="25"/>
      <c r="K40" s="30" t="s">
        <v>26</v>
      </c>
      <c r="L40" s="30">
        <f>SUM(L23:L39)</f>
        <v>0</v>
      </c>
      <c r="M40" s="2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 t="s">
        <v>0</v>
      </c>
      <c r="B41" s="41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/>
      <c r="B42" s="7" t="s">
        <v>1</v>
      </c>
      <c r="C42" s="7" t="s">
        <v>2</v>
      </c>
      <c r="D42" s="7" t="s">
        <v>3</v>
      </c>
      <c r="E42" s="7" t="s">
        <v>4</v>
      </c>
      <c r="F42" s="7" t="s">
        <v>5</v>
      </c>
      <c r="G42" s="7" t="s">
        <v>6</v>
      </c>
      <c r="H42" s="7" t="s">
        <v>7</v>
      </c>
      <c r="I42" s="7" t="s">
        <v>8</v>
      </c>
      <c r="J42" s="7" t="s">
        <v>9</v>
      </c>
      <c r="K42" s="7" t="s">
        <v>10</v>
      </c>
      <c r="L42" s="7" t="s">
        <v>11</v>
      </c>
      <c r="M42" s="8" t="s">
        <v>12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9"/>
      <c r="B43" s="10" t="s">
        <v>13</v>
      </c>
      <c r="C43" s="12"/>
      <c r="D43" s="12"/>
      <c r="E43" s="12"/>
      <c r="F43" s="12"/>
      <c r="G43" s="12">
        <f t="shared" ref="G43:G59" si="10">C43-F43</f>
        <v>0</v>
      </c>
      <c r="H43" s="13" t="str">
        <f t="shared" ref="H43:H59" si="11">D43/G43</f>
        <v>#DIV/0!</v>
      </c>
      <c r="I43" s="42"/>
      <c r="J43" s="10">
        <f t="shared" ref="J43:J59" si="12">M23</f>
        <v>367.5</v>
      </c>
      <c r="K43" s="36">
        <f t="shared" ref="K43:K59" si="13">(G43*I43)+J43</f>
        <v>367.5</v>
      </c>
      <c r="L43" s="32"/>
      <c r="M43" s="10">
        <f t="shared" ref="M43:M59" si="14">K43-L43</f>
        <v>367.5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7">
        <v>1.07</v>
      </c>
      <c r="B44" s="18" t="s">
        <v>14</v>
      </c>
      <c r="C44" s="20"/>
      <c r="D44" s="20"/>
      <c r="E44" s="20"/>
      <c r="F44" s="20"/>
      <c r="G44" s="20">
        <f t="shared" si="10"/>
        <v>0</v>
      </c>
      <c r="H44" s="13" t="str">
        <f t="shared" si="11"/>
        <v>#DIV/0!</v>
      </c>
      <c r="I44" s="39"/>
      <c r="J44" s="10">
        <f t="shared" si="12"/>
        <v>85684</v>
      </c>
      <c r="K44" s="38">
        <f t="shared" si="13"/>
        <v>85684</v>
      </c>
      <c r="L44" s="22"/>
      <c r="M44" s="18">
        <f t="shared" si="14"/>
        <v>85684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7">
        <v>0.96</v>
      </c>
      <c r="B45" s="18" t="s">
        <v>15</v>
      </c>
      <c r="C45" s="20"/>
      <c r="D45" s="20"/>
      <c r="E45" s="20"/>
      <c r="F45" s="20"/>
      <c r="G45" s="20">
        <f t="shared" si="10"/>
        <v>0</v>
      </c>
      <c r="H45" s="13" t="str">
        <f t="shared" si="11"/>
        <v>#DIV/0!</v>
      </c>
      <c r="I45" s="39"/>
      <c r="J45" s="10">
        <f t="shared" si="12"/>
        <v>72253</v>
      </c>
      <c r="K45" s="38">
        <f t="shared" si="13"/>
        <v>72253</v>
      </c>
      <c r="L45" s="22"/>
      <c r="M45" s="18">
        <f t="shared" si="14"/>
        <v>72253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7">
        <v>0.865</v>
      </c>
      <c r="B46" s="18" t="s">
        <v>16</v>
      </c>
      <c r="C46" s="20"/>
      <c r="D46" s="20"/>
      <c r="E46" s="20"/>
      <c r="F46" s="20"/>
      <c r="G46" s="20">
        <f t="shared" si="10"/>
        <v>0</v>
      </c>
      <c r="H46" s="13" t="str">
        <f t="shared" si="11"/>
        <v>#DIV/0!</v>
      </c>
      <c r="I46" s="39"/>
      <c r="J46" s="10">
        <f t="shared" si="12"/>
        <v>720</v>
      </c>
      <c r="K46" s="38">
        <f t="shared" si="13"/>
        <v>720</v>
      </c>
      <c r="L46" s="22"/>
      <c r="M46" s="18">
        <f t="shared" si="14"/>
        <v>720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7">
        <v>0.885</v>
      </c>
      <c r="B47" s="18" t="s">
        <v>17</v>
      </c>
      <c r="C47" s="20"/>
      <c r="D47" s="20"/>
      <c r="E47" s="20"/>
      <c r="F47" s="20"/>
      <c r="G47" s="20">
        <f t="shared" si="10"/>
        <v>0</v>
      </c>
      <c r="H47" s="13" t="str">
        <f t="shared" si="11"/>
        <v>#DIV/0!</v>
      </c>
      <c r="I47" s="39"/>
      <c r="J47" s="10">
        <f t="shared" si="12"/>
        <v>81</v>
      </c>
      <c r="K47" s="38">
        <f t="shared" si="13"/>
        <v>81</v>
      </c>
      <c r="L47" s="22"/>
      <c r="M47" s="18">
        <f t="shared" si="14"/>
        <v>81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7"/>
      <c r="B48" s="18" t="s">
        <v>18</v>
      </c>
      <c r="C48" s="20"/>
      <c r="D48" s="20"/>
      <c r="E48" s="20"/>
      <c r="F48" s="20"/>
      <c r="G48" s="20">
        <f t="shared" si="10"/>
        <v>0</v>
      </c>
      <c r="H48" s="13" t="str">
        <f t="shared" si="11"/>
        <v>#DIV/0!</v>
      </c>
      <c r="I48" s="39"/>
      <c r="J48" s="10">
        <f t="shared" si="12"/>
        <v>668</v>
      </c>
      <c r="K48" s="38">
        <f t="shared" si="13"/>
        <v>668</v>
      </c>
      <c r="L48" s="22"/>
      <c r="M48" s="18">
        <f t="shared" si="14"/>
        <v>668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7">
        <v>0.85</v>
      </c>
      <c r="B49" s="18" t="s">
        <v>19</v>
      </c>
      <c r="C49" s="20"/>
      <c r="D49" s="20"/>
      <c r="E49" s="20"/>
      <c r="F49" s="20"/>
      <c r="G49" s="20">
        <f t="shared" si="10"/>
        <v>0</v>
      </c>
      <c r="H49" s="13" t="str">
        <f t="shared" si="11"/>
        <v>#DIV/0!</v>
      </c>
      <c r="I49" s="39"/>
      <c r="J49" s="10">
        <f t="shared" si="12"/>
        <v>360</v>
      </c>
      <c r="K49" s="38">
        <f t="shared" si="13"/>
        <v>360</v>
      </c>
      <c r="L49" s="22"/>
      <c r="M49" s="18">
        <f t="shared" si="14"/>
        <v>360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7">
        <v>0.93</v>
      </c>
      <c r="B50" s="18" t="s">
        <v>20</v>
      </c>
      <c r="C50" s="20"/>
      <c r="D50" s="20"/>
      <c r="E50" s="20"/>
      <c r="F50" s="20"/>
      <c r="G50" s="20">
        <f t="shared" si="10"/>
        <v>0</v>
      </c>
      <c r="H50" s="13" t="str">
        <f t="shared" si="11"/>
        <v>#DIV/0!</v>
      </c>
      <c r="I50" s="39"/>
      <c r="J50" s="10">
        <f t="shared" si="12"/>
        <v>-275</v>
      </c>
      <c r="K50" s="38">
        <f t="shared" si="13"/>
        <v>-275</v>
      </c>
      <c r="L50" s="22"/>
      <c r="M50" s="18">
        <f t="shared" si="14"/>
        <v>-275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7">
        <v>0.96</v>
      </c>
      <c r="B51" s="18" t="s">
        <v>21</v>
      </c>
      <c r="C51" s="20"/>
      <c r="D51" s="20"/>
      <c r="E51" s="20"/>
      <c r="F51" s="20"/>
      <c r="G51" s="20">
        <f t="shared" si="10"/>
        <v>0</v>
      </c>
      <c r="H51" s="13" t="str">
        <f t="shared" si="11"/>
        <v>#DIV/0!</v>
      </c>
      <c r="I51" s="39"/>
      <c r="J51" s="10">
        <f t="shared" si="12"/>
        <v>7</v>
      </c>
      <c r="K51" s="38">
        <f t="shared" si="13"/>
        <v>7</v>
      </c>
      <c r="L51" s="22"/>
      <c r="M51" s="18">
        <f t="shared" si="14"/>
        <v>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7">
        <v>0.815</v>
      </c>
      <c r="B52" s="18" t="s">
        <v>22</v>
      </c>
      <c r="C52" s="20"/>
      <c r="D52" s="20"/>
      <c r="E52" s="20"/>
      <c r="F52" s="20"/>
      <c r="G52" s="20">
        <f t="shared" si="10"/>
        <v>0</v>
      </c>
      <c r="H52" s="13" t="str">
        <f t="shared" si="11"/>
        <v>#DIV/0!</v>
      </c>
      <c r="I52" s="39"/>
      <c r="J52" s="10">
        <f t="shared" si="12"/>
        <v>649</v>
      </c>
      <c r="K52" s="38">
        <f t="shared" si="13"/>
        <v>649</v>
      </c>
      <c r="L52" s="22"/>
      <c r="M52" s="18">
        <f t="shared" si="14"/>
        <v>649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7"/>
      <c r="B53" s="18"/>
      <c r="C53" s="20"/>
      <c r="D53" s="20"/>
      <c r="E53" s="20"/>
      <c r="F53" s="20"/>
      <c r="G53" s="20">
        <f t="shared" si="10"/>
        <v>0</v>
      </c>
      <c r="H53" s="13" t="str">
        <f t="shared" si="11"/>
        <v>#DIV/0!</v>
      </c>
      <c r="I53" s="39"/>
      <c r="J53" s="10">
        <f t="shared" si="12"/>
        <v>0</v>
      </c>
      <c r="K53" s="38">
        <f t="shared" si="13"/>
        <v>0</v>
      </c>
      <c r="L53" s="22"/>
      <c r="M53" s="18">
        <f t="shared" si="14"/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7"/>
      <c r="B54" s="18"/>
      <c r="C54" s="20"/>
      <c r="D54" s="20"/>
      <c r="E54" s="20"/>
      <c r="F54" s="20"/>
      <c r="G54" s="20">
        <f t="shared" si="10"/>
        <v>0</v>
      </c>
      <c r="H54" s="13" t="str">
        <f t="shared" si="11"/>
        <v>#DIV/0!</v>
      </c>
      <c r="I54" s="39"/>
      <c r="J54" s="10">
        <f t="shared" si="12"/>
        <v>0</v>
      </c>
      <c r="K54" s="38">
        <f t="shared" si="13"/>
        <v>0</v>
      </c>
      <c r="L54" s="22"/>
      <c r="M54" s="18">
        <f t="shared" si="14"/>
        <v>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7"/>
      <c r="B55" s="18"/>
      <c r="C55" s="20"/>
      <c r="D55" s="20"/>
      <c r="E55" s="20"/>
      <c r="F55" s="20"/>
      <c r="G55" s="20">
        <f t="shared" si="10"/>
        <v>0</v>
      </c>
      <c r="H55" s="13" t="str">
        <f t="shared" si="11"/>
        <v>#DIV/0!</v>
      </c>
      <c r="I55" s="39"/>
      <c r="J55" s="10">
        <f t="shared" si="12"/>
        <v>0</v>
      </c>
      <c r="K55" s="38">
        <f t="shared" si="13"/>
        <v>0</v>
      </c>
      <c r="L55" s="22"/>
      <c r="M55" s="18">
        <f t="shared" si="14"/>
        <v>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7"/>
      <c r="B56" s="18"/>
      <c r="C56" s="20"/>
      <c r="D56" s="20"/>
      <c r="E56" s="20"/>
      <c r="F56" s="20"/>
      <c r="G56" s="20">
        <f t="shared" si="10"/>
        <v>0</v>
      </c>
      <c r="H56" s="13" t="str">
        <f t="shared" si="11"/>
        <v>#DIV/0!</v>
      </c>
      <c r="I56" s="39"/>
      <c r="J56" s="10">
        <f t="shared" si="12"/>
        <v>0</v>
      </c>
      <c r="K56" s="38">
        <f t="shared" si="13"/>
        <v>0</v>
      </c>
      <c r="L56" s="22"/>
      <c r="M56" s="18">
        <f t="shared" si="14"/>
        <v>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7"/>
      <c r="B57" s="25"/>
      <c r="C57" s="20"/>
      <c r="D57" s="20"/>
      <c r="E57" s="20"/>
      <c r="F57" s="20"/>
      <c r="G57" s="20">
        <f t="shared" si="10"/>
        <v>0</v>
      </c>
      <c r="H57" s="13" t="str">
        <f t="shared" si="11"/>
        <v>#DIV/0!</v>
      </c>
      <c r="I57" s="39"/>
      <c r="J57" s="10">
        <f t="shared" si="12"/>
        <v>0</v>
      </c>
      <c r="K57" s="38">
        <f t="shared" si="13"/>
        <v>0</v>
      </c>
      <c r="L57" s="22"/>
      <c r="M57" s="18">
        <f t="shared" si="14"/>
        <v>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7"/>
      <c r="B58" s="25" t="s">
        <v>23</v>
      </c>
      <c r="C58" s="20"/>
      <c r="D58" s="20"/>
      <c r="E58" s="20"/>
      <c r="F58" s="20"/>
      <c r="G58" s="20">
        <f t="shared" si="10"/>
        <v>0</v>
      </c>
      <c r="H58" s="13" t="str">
        <f t="shared" si="11"/>
        <v>#DIV/0!</v>
      </c>
      <c r="I58" s="39"/>
      <c r="J58" s="10">
        <f t="shared" si="12"/>
        <v>80600</v>
      </c>
      <c r="K58" s="38">
        <f t="shared" si="13"/>
        <v>80600</v>
      </c>
      <c r="L58" s="22"/>
      <c r="M58" s="18">
        <f t="shared" si="14"/>
        <v>80600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26" t="s">
        <v>24</v>
      </c>
      <c r="B59" s="27"/>
      <c r="C59" s="28"/>
      <c r="D59" s="28"/>
      <c r="E59" s="28"/>
      <c r="F59" s="28"/>
      <c r="G59" s="28">
        <f t="shared" si="10"/>
        <v>0</v>
      </c>
      <c r="H59" s="40" t="str">
        <f t="shared" si="11"/>
        <v>#DIV/0!</v>
      </c>
      <c r="I59" s="39"/>
      <c r="J59" s="10">
        <f t="shared" si="12"/>
        <v>0</v>
      </c>
      <c r="K59" s="38">
        <f t="shared" si="13"/>
        <v>0</v>
      </c>
      <c r="L59" s="29"/>
      <c r="M59" s="25">
        <f t="shared" si="14"/>
        <v>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25"/>
      <c r="B60" s="25"/>
      <c r="C60" s="25"/>
      <c r="D60" s="25" t="s">
        <v>25</v>
      </c>
      <c r="E60" s="28">
        <f>SUM(E43:E59)</f>
        <v>0</v>
      </c>
      <c r="F60" s="25"/>
      <c r="G60" s="25"/>
      <c r="H60" s="25"/>
      <c r="I60" s="25"/>
      <c r="J60" s="25"/>
      <c r="K60" s="30" t="s">
        <v>26</v>
      </c>
      <c r="L60" s="30">
        <f>SUM(L43:L59)</f>
        <v>0</v>
      </c>
      <c r="M60" s="2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 t="s">
        <v>0</v>
      </c>
      <c r="B61" s="41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6"/>
      <c r="B62" s="7" t="s">
        <v>1</v>
      </c>
      <c r="C62" s="7" t="s">
        <v>2</v>
      </c>
      <c r="D62" s="7" t="s">
        <v>3</v>
      </c>
      <c r="E62" s="7" t="s">
        <v>4</v>
      </c>
      <c r="F62" s="7" t="s">
        <v>5</v>
      </c>
      <c r="G62" s="7" t="s">
        <v>6</v>
      </c>
      <c r="H62" s="7" t="s">
        <v>7</v>
      </c>
      <c r="I62" s="7" t="s">
        <v>8</v>
      </c>
      <c r="J62" s="7" t="s">
        <v>9</v>
      </c>
      <c r="K62" s="7" t="s">
        <v>10</v>
      </c>
      <c r="L62" s="7" t="s">
        <v>11</v>
      </c>
      <c r="M62" s="8" t="s">
        <v>12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9"/>
      <c r="B63" s="10" t="s">
        <v>13</v>
      </c>
      <c r="C63" s="12"/>
      <c r="D63" s="12"/>
      <c r="E63" s="12"/>
      <c r="F63" s="12"/>
      <c r="G63" s="12">
        <f t="shared" ref="G63:G79" si="15">C63-F63</f>
        <v>0</v>
      </c>
      <c r="H63" s="13" t="str">
        <f t="shared" ref="H63:H79" si="16">D63/G63</f>
        <v>#DIV/0!</v>
      </c>
      <c r="I63" s="42"/>
      <c r="J63" s="10">
        <f t="shared" ref="J63:J79" si="17">M43</f>
        <v>367.5</v>
      </c>
      <c r="K63" s="36">
        <f t="shared" ref="K63:K79" si="18">(G63*I63)+J63</f>
        <v>367.5</v>
      </c>
      <c r="L63" s="32"/>
      <c r="M63" s="10">
        <f t="shared" ref="M63:M79" si="19">K63-L63</f>
        <v>367.5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7">
        <v>1.07</v>
      </c>
      <c r="B64" s="18" t="s">
        <v>14</v>
      </c>
      <c r="C64" s="20"/>
      <c r="D64" s="20"/>
      <c r="E64" s="20"/>
      <c r="F64" s="20"/>
      <c r="G64" s="20">
        <f t="shared" si="15"/>
        <v>0</v>
      </c>
      <c r="H64" s="13" t="str">
        <f t="shared" si="16"/>
        <v>#DIV/0!</v>
      </c>
      <c r="I64" s="39"/>
      <c r="J64" s="10">
        <f t="shared" si="17"/>
        <v>85684</v>
      </c>
      <c r="K64" s="38">
        <f t="shared" si="18"/>
        <v>85684</v>
      </c>
      <c r="L64" s="22"/>
      <c r="M64" s="18">
        <f t="shared" si="19"/>
        <v>85684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7">
        <v>0.96</v>
      </c>
      <c r="B65" s="18" t="s">
        <v>15</v>
      </c>
      <c r="C65" s="20"/>
      <c r="D65" s="20"/>
      <c r="E65" s="20"/>
      <c r="F65" s="20"/>
      <c r="G65" s="20">
        <f t="shared" si="15"/>
        <v>0</v>
      </c>
      <c r="H65" s="13" t="str">
        <f t="shared" si="16"/>
        <v>#DIV/0!</v>
      </c>
      <c r="I65" s="39"/>
      <c r="J65" s="10">
        <f t="shared" si="17"/>
        <v>72253</v>
      </c>
      <c r="K65" s="38">
        <f t="shared" si="18"/>
        <v>72253</v>
      </c>
      <c r="L65" s="22"/>
      <c r="M65" s="18">
        <f t="shared" si="19"/>
        <v>72253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7">
        <v>0.865</v>
      </c>
      <c r="B66" s="18" t="s">
        <v>16</v>
      </c>
      <c r="C66" s="20"/>
      <c r="D66" s="20"/>
      <c r="E66" s="20"/>
      <c r="F66" s="20"/>
      <c r="G66" s="20">
        <f t="shared" si="15"/>
        <v>0</v>
      </c>
      <c r="H66" s="13" t="str">
        <f t="shared" si="16"/>
        <v>#DIV/0!</v>
      </c>
      <c r="I66" s="39"/>
      <c r="J66" s="10">
        <f t="shared" si="17"/>
        <v>720</v>
      </c>
      <c r="K66" s="38">
        <f t="shared" si="18"/>
        <v>720</v>
      </c>
      <c r="L66" s="22"/>
      <c r="M66" s="18">
        <f t="shared" si="19"/>
        <v>720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7">
        <v>0.885</v>
      </c>
      <c r="B67" s="18" t="s">
        <v>17</v>
      </c>
      <c r="C67" s="20"/>
      <c r="D67" s="20"/>
      <c r="E67" s="20"/>
      <c r="F67" s="20"/>
      <c r="G67" s="20">
        <f t="shared" si="15"/>
        <v>0</v>
      </c>
      <c r="H67" s="13" t="str">
        <f t="shared" si="16"/>
        <v>#DIV/0!</v>
      </c>
      <c r="I67" s="39"/>
      <c r="J67" s="10">
        <f t="shared" si="17"/>
        <v>81</v>
      </c>
      <c r="K67" s="38">
        <f t="shared" si="18"/>
        <v>81</v>
      </c>
      <c r="L67" s="22"/>
      <c r="M67" s="18">
        <f t="shared" si="19"/>
        <v>81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7"/>
      <c r="B68" s="18" t="s">
        <v>18</v>
      </c>
      <c r="C68" s="20"/>
      <c r="D68" s="20"/>
      <c r="E68" s="20"/>
      <c r="F68" s="20"/>
      <c r="G68" s="20">
        <f t="shared" si="15"/>
        <v>0</v>
      </c>
      <c r="H68" s="13" t="str">
        <f t="shared" si="16"/>
        <v>#DIV/0!</v>
      </c>
      <c r="I68" s="39"/>
      <c r="J68" s="10">
        <f t="shared" si="17"/>
        <v>668</v>
      </c>
      <c r="K68" s="38">
        <f t="shared" si="18"/>
        <v>668</v>
      </c>
      <c r="L68" s="22"/>
      <c r="M68" s="18">
        <f t="shared" si="19"/>
        <v>668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7">
        <v>0.85</v>
      </c>
      <c r="B69" s="18" t="s">
        <v>19</v>
      </c>
      <c r="C69" s="20"/>
      <c r="D69" s="20"/>
      <c r="E69" s="20"/>
      <c r="F69" s="20"/>
      <c r="G69" s="20">
        <f t="shared" si="15"/>
        <v>0</v>
      </c>
      <c r="H69" s="13" t="str">
        <f t="shared" si="16"/>
        <v>#DIV/0!</v>
      </c>
      <c r="I69" s="39"/>
      <c r="J69" s="10">
        <f t="shared" si="17"/>
        <v>360</v>
      </c>
      <c r="K69" s="38">
        <f t="shared" si="18"/>
        <v>360</v>
      </c>
      <c r="L69" s="22"/>
      <c r="M69" s="18">
        <f t="shared" si="19"/>
        <v>360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7">
        <v>0.93</v>
      </c>
      <c r="B70" s="18" t="s">
        <v>20</v>
      </c>
      <c r="C70" s="20"/>
      <c r="D70" s="20"/>
      <c r="E70" s="20"/>
      <c r="F70" s="20"/>
      <c r="G70" s="20">
        <f t="shared" si="15"/>
        <v>0</v>
      </c>
      <c r="H70" s="13" t="str">
        <f t="shared" si="16"/>
        <v>#DIV/0!</v>
      </c>
      <c r="I70" s="39"/>
      <c r="J70" s="10">
        <f t="shared" si="17"/>
        <v>-275</v>
      </c>
      <c r="K70" s="38">
        <f t="shared" si="18"/>
        <v>-275</v>
      </c>
      <c r="L70" s="22"/>
      <c r="M70" s="18">
        <f t="shared" si="19"/>
        <v>-275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7">
        <v>0.96</v>
      </c>
      <c r="B71" s="18" t="s">
        <v>21</v>
      </c>
      <c r="C71" s="20"/>
      <c r="D71" s="20"/>
      <c r="E71" s="20"/>
      <c r="F71" s="20"/>
      <c r="G71" s="20">
        <f t="shared" si="15"/>
        <v>0</v>
      </c>
      <c r="H71" s="13" t="str">
        <f t="shared" si="16"/>
        <v>#DIV/0!</v>
      </c>
      <c r="I71" s="39"/>
      <c r="J71" s="10">
        <f t="shared" si="17"/>
        <v>7</v>
      </c>
      <c r="K71" s="38">
        <f t="shared" si="18"/>
        <v>7</v>
      </c>
      <c r="L71" s="22"/>
      <c r="M71" s="18">
        <f t="shared" si="19"/>
        <v>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7">
        <v>0.815</v>
      </c>
      <c r="B72" s="18" t="s">
        <v>22</v>
      </c>
      <c r="C72" s="20"/>
      <c r="D72" s="20"/>
      <c r="E72" s="20"/>
      <c r="F72" s="20"/>
      <c r="G72" s="20">
        <f t="shared" si="15"/>
        <v>0</v>
      </c>
      <c r="H72" s="13" t="str">
        <f t="shared" si="16"/>
        <v>#DIV/0!</v>
      </c>
      <c r="I72" s="39"/>
      <c r="J72" s="10">
        <f t="shared" si="17"/>
        <v>649</v>
      </c>
      <c r="K72" s="38">
        <f t="shared" si="18"/>
        <v>649</v>
      </c>
      <c r="L72" s="22"/>
      <c r="M72" s="18">
        <f t="shared" si="19"/>
        <v>649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7"/>
      <c r="B73" s="18"/>
      <c r="C73" s="20"/>
      <c r="D73" s="20"/>
      <c r="E73" s="20"/>
      <c r="F73" s="20"/>
      <c r="G73" s="20">
        <f t="shared" si="15"/>
        <v>0</v>
      </c>
      <c r="H73" s="13" t="str">
        <f t="shared" si="16"/>
        <v>#DIV/0!</v>
      </c>
      <c r="I73" s="39"/>
      <c r="J73" s="10">
        <f t="shared" si="17"/>
        <v>0</v>
      </c>
      <c r="K73" s="38">
        <f t="shared" si="18"/>
        <v>0</v>
      </c>
      <c r="L73" s="22"/>
      <c r="M73" s="18">
        <f t="shared" si="19"/>
        <v>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7"/>
      <c r="B74" s="18"/>
      <c r="C74" s="20"/>
      <c r="D74" s="20"/>
      <c r="E74" s="20"/>
      <c r="F74" s="20"/>
      <c r="G74" s="20">
        <f t="shared" si="15"/>
        <v>0</v>
      </c>
      <c r="H74" s="13" t="str">
        <f t="shared" si="16"/>
        <v>#DIV/0!</v>
      </c>
      <c r="I74" s="39"/>
      <c r="J74" s="10">
        <f t="shared" si="17"/>
        <v>0</v>
      </c>
      <c r="K74" s="38">
        <f t="shared" si="18"/>
        <v>0</v>
      </c>
      <c r="L74" s="22"/>
      <c r="M74" s="18">
        <f t="shared" si="19"/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7"/>
      <c r="B75" s="18"/>
      <c r="C75" s="20"/>
      <c r="D75" s="20"/>
      <c r="E75" s="20"/>
      <c r="F75" s="20"/>
      <c r="G75" s="20">
        <f t="shared" si="15"/>
        <v>0</v>
      </c>
      <c r="H75" s="13" t="str">
        <f t="shared" si="16"/>
        <v>#DIV/0!</v>
      </c>
      <c r="I75" s="39"/>
      <c r="J75" s="10">
        <f t="shared" si="17"/>
        <v>0</v>
      </c>
      <c r="K75" s="38">
        <f t="shared" si="18"/>
        <v>0</v>
      </c>
      <c r="L75" s="22"/>
      <c r="M75" s="18">
        <f t="shared" si="19"/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7"/>
      <c r="B76" s="18"/>
      <c r="C76" s="20"/>
      <c r="D76" s="20"/>
      <c r="E76" s="20"/>
      <c r="F76" s="20"/>
      <c r="G76" s="20">
        <f t="shared" si="15"/>
        <v>0</v>
      </c>
      <c r="H76" s="13" t="str">
        <f t="shared" si="16"/>
        <v>#DIV/0!</v>
      </c>
      <c r="I76" s="39"/>
      <c r="J76" s="10">
        <f t="shared" si="17"/>
        <v>0</v>
      </c>
      <c r="K76" s="38">
        <f t="shared" si="18"/>
        <v>0</v>
      </c>
      <c r="L76" s="22"/>
      <c r="M76" s="18">
        <f t="shared" si="19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7"/>
      <c r="B77" s="25"/>
      <c r="C77" s="20"/>
      <c r="D77" s="20"/>
      <c r="E77" s="20"/>
      <c r="F77" s="20"/>
      <c r="G77" s="20">
        <f t="shared" si="15"/>
        <v>0</v>
      </c>
      <c r="H77" s="13" t="str">
        <f t="shared" si="16"/>
        <v>#DIV/0!</v>
      </c>
      <c r="I77" s="39"/>
      <c r="J77" s="10">
        <f t="shared" si="17"/>
        <v>0</v>
      </c>
      <c r="K77" s="38">
        <f t="shared" si="18"/>
        <v>0</v>
      </c>
      <c r="L77" s="22"/>
      <c r="M77" s="18">
        <f t="shared" si="19"/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7"/>
      <c r="B78" s="25" t="s">
        <v>23</v>
      </c>
      <c r="C78" s="20"/>
      <c r="D78" s="20"/>
      <c r="E78" s="20"/>
      <c r="F78" s="20"/>
      <c r="G78" s="20">
        <f t="shared" si="15"/>
        <v>0</v>
      </c>
      <c r="H78" s="13" t="str">
        <f t="shared" si="16"/>
        <v>#DIV/0!</v>
      </c>
      <c r="I78" s="39"/>
      <c r="J78" s="10">
        <f t="shared" si="17"/>
        <v>80600</v>
      </c>
      <c r="K78" s="38">
        <f t="shared" si="18"/>
        <v>80600</v>
      </c>
      <c r="L78" s="22"/>
      <c r="M78" s="18">
        <f t="shared" si="19"/>
        <v>80600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26" t="s">
        <v>24</v>
      </c>
      <c r="B79" s="27"/>
      <c r="C79" s="28"/>
      <c r="D79" s="28"/>
      <c r="E79" s="28"/>
      <c r="F79" s="28"/>
      <c r="G79" s="28">
        <f t="shared" si="15"/>
        <v>0</v>
      </c>
      <c r="H79" s="40" t="str">
        <f t="shared" si="16"/>
        <v>#DIV/0!</v>
      </c>
      <c r="I79" s="39"/>
      <c r="J79" s="10">
        <f t="shared" si="17"/>
        <v>0</v>
      </c>
      <c r="K79" s="38">
        <f t="shared" si="18"/>
        <v>0</v>
      </c>
      <c r="L79" s="29"/>
      <c r="M79" s="25">
        <f t="shared" si="19"/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25"/>
      <c r="B80" s="25"/>
      <c r="C80" s="25"/>
      <c r="D80" s="25" t="s">
        <v>25</v>
      </c>
      <c r="E80" s="28">
        <f>SUM(E63:E79)</f>
        <v>0</v>
      </c>
      <c r="F80" s="25"/>
      <c r="G80" s="25"/>
      <c r="H80" s="25"/>
      <c r="I80" s="25"/>
      <c r="J80" s="25"/>
      <c r="K80" s="30" t="s">
        <v>26</v>
      </c>
      <c r="L80" s="30">
        <f>SUM(L63:L79)</f>
        <v>0</v>
      </c>
      <c r="M80" s="2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 t="s">
        <v>0</v>
      </c>
      <c r="B81" s="41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6"/>
      <c r="B82" s="7" t="s">
        <v>1</v>
      </c>
      <c r="C82" s="7" t="s">
        <v>2</v>
      </c>
      <c r="D82" s="7" t="s">
        <v>3</v>
      </c>
      <c r="E82" s="7" t="s">
        <v>4</v>
      </c>
      <c r="F82" s="7" t="s">
        <v>5</v>
      </c>
      <c r="G82" s="7" t="s">
        <v>6</v>
      </c>
      <c r="H82" s="7" t="s">
        <v>7</v>
      </c>
      <c r="I82" s="7" t="s">
        <v>8</v>
      </c>
      <c r="J82" s="7" t="s">
        <v>9</v>
      </c>
      <c r="K82" s="7" t="s">
        <v>10</v>
      </c>
      <c r="L82" s="7" t="s">
        <v>11</v>
      </c>
      <c r="M82" s="8" t="s">
        <v>12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9"/>
      <c r="B83" s="10" t="s">
        <v>13</v>
      </c>
      <c r="C83" s="12"/>
      <c r="D83" s="12"/>
      <c r="E83" s="12"/>
      <c r="F83" s="12"/>
      <c r="G83" s="12">
        <f t="shared" ref="G83:G99" si="20">C83-F83</f>
        <v>0</v>
      </c>
      <c r="H83" s="13" t="str">
        <f t="shared" ref="H83:H99" si="21">D83/G83</f>
        <v>#DIV/0!</v>
      </c>
      <c r="I83" s="42"/>
      <c r="J83" s="10">
        <f t="shared" ref="J83:J99" si="22">M63</f>
        <v>367.5</v>
      </c>
      <c r="K83" s="36">
        <f t="shared" ref="K83:K99" si="23">(G83*I83)+J83</f>
        <v>367.5</v>
      </c>
      <c r="L83" s="32"/>
      <c r="M83" s="10">
        <f t="shared" ref="M83:M99" si="24">K83-L83</f>
        <v>367.5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7">
        <v>1.07</v>
      </c>
      <c r="B84" s="18" t="s">
        <v>14</v>
      </c>
      <c r="C84" s="20"/>
      <c r="D84" s="20"/>
      <c r="E84" s="20"/>
      <c r="F84" s="20"/>
      <c r="G84" s="20">
        <f t="shared" si="20"/>
        <v>0</v>
      </c>
      <c r="H84" s="13" t="str">
        <f t="shared" si="21"/>
        <v>#DIV/0!</v>
      </c>
      <c r="I84" s="39"/>
      <c r="J84" s="10">
        <f t="shared" si="22"/>
        <v>85684</v>
      </c>
      <c r="K84" s="38">
        <f t="shared" si="23"/>
        <v>85684</v>
      </c>
      <c r="L84" s="22"/>
      <c r="M84" s="18">
        <f t="shared" si="24"/>
        <v>85684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7">
        <v>0.96</v>
      </c>
      <c r="B85" s="18" t="s">
        <v>15</v>
      </c>
      <c r="C85" s="20"/>
      <c r="D85" s="20"/>
      <c r="E85" s="20"/>
      <c r="F85" s="20"/>
      <c r="G85" s="20">
        <f t="shared" si="20"/>
        <v>0</v>
      </c>
      <c r="H85" s="13" t="str">
        <f t="shared" si="21"/>
        <v>#DIV/0!</v>
      </c>
      <c r="I85" s="39"/>
      <c r="J85" s="10">
        <f t="shared" si="22"/>
        <v>72253</v>
      </c>
      <c r="K85" s="38">
        <f t="shared" si="23"/>
        <v>72253</v>
      </c>
      <c r="L85" s="22"/>
      <c r="M85" s="18">
        <f t="shared" si="24"/>
        <v>72253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7">
        <v>0.865</v>
      </c>
      <c r="B86" s="18" t="s">
        <v>16</v>
      </c>
      <c r="C86" s="20"/>
      <c r="D86" s="20"/>
      <c r="E86" s="20"/>
      <c r="F86" s="20"/>
      <c r="G86" s="20">
        <f t="shared" si="20"/>
        <v>0</v>
      </c>
      <c r="H86" s="13" t="str">
        <f t="shared" si="21"/>
        <v>#DIV/0!</v>
      </c>
      <c r="I86" s="39"/>
      <c r="J86" s="10">
        <f t="shared" si="22"/>
        <v>720</v>
      </c>
      <c r="K86" s="38">
        <f t="shared" si="23"/>
        <v>720</v>
      </c>
      <c r="L86" s="22"/>
      <c r="M86" s="18">
        <f t="shared" si="24"/>
        <v>720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7">
        <v>0.885</v>
      </c>
      <c r="B87" s="18" t="s">
        <v>17</v>
      </c>
      <c r="C87" s="20"/>
      <c r="D87" s="20"/>
      <c r="E87" s="20"/>
      <c r="F87" s="20"/>
      <c r="G87" s="20">
        <f t="shared" si="20"/>
        <v>0</v>
      </c>
      <c r="H87" s="13" t="str">
        <f t="shared" si="21"/>
        <v>#DIV/0!</v>
      </c>
      <c r="I87" s="39"/>
      <c r="J87" s="10">
        <f t="shared" si="22"/>
        <v>81</v>
      </c>
      <c r="K87" s="38">
        <f t="shared" si="23"/>
        <v>81</v>
      </c>
      <c r="L87" s="22"/>
      <c r="M87" s="18">
        <f t="shared" si="24"/>
        <v>81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7"/>
      <c r="B88" s="18" t="s">
        <v>18</v>
      </c>
      <c r="C88" s="20"/>
      <c r="D88" s="20"/>
      <c r="E88" s="20"/>
      <c r="F88" s="20"/>
      <c r="G88" s="20">
        <f t="shared" si="20"/>
        <v>0</v>
      </c>
      <c r="H88" s="13" t="str">
        <f t="shared" si="21"/>
        <v>#DIV/0!</v>
      </c>
      <c r="I88" s="39"/>
      <c r="J88" s="10">
        <f t="shared" si="22"/>
        <v>668</v>
      </c>
      <c r="K88" s="38">
        <f t="shared" si="23"/>
        <v>668</v>
      </c>
      <c r="L88" s="22"/>
      <c r="M88" s="18">
        <f t="shared" si="24"/>
        <v>668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7">
        <v>0.85</v>
      </c>
      <c r="B89" s="18" t="s">
        <v>19</v>
      </c>
      <c r="C89" s="20"/>
      <c r="D89" s="20"/>
      <c r="E89" s="20"/>
      <c r="F89" s="20"/>
      <c r="G89" s="20">
        <f t="shared" si="20"/>
        <v>0</v>
      </c>
      <c r="H89" s="13" t="str">
        <f t="shared" si="21"/>
        <v>#DIV/0!</v>
      </c>
      <c r="I89" s="39"/>
      <c r="J89" s="10">
        <f t="shared" si="22"/>
        <v>360</v>
      </c>
      <c r="K89" s="38">
        <f t="shared" si="23"/>
        <v>360</v>
      </c>
      <c r="L89" s="22"/>
      <c r="M89" s="18">
        <f t="shared" si="24"/>
        <v>360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7">
        <v>0.93</v>
      </c>
      <c r="B90" s="18" t="s">
        <v>20</v>
      </c>
      <c r="C90" s="20"/>
      <c r="D90" s="20"/>
      <c r="E90" s="20"/>
      <c r="F90" s="20"/>
      <c r="G90" s="20">
        <f t="shared" si="20"/>
        <v>0</v>
      </c>
      <c r="H90" s="13" t="str">
        <f t="shared" si="21"/>
        <v>#DIV/0!</v>
      </c>
      <c r="I90" s="39"/>
      <c r="J90" s="10">
        <f t="shared" si="22"/>
        <v>-275</v>
      </c>
      <c r="K90" s="38">
        <f t="shared" si="23"/>
        <v>-275</v>
      </c>
      <c r="L90" s="22"/>
      <c r="M90" s="18">
        <f t="shared" si="24"/>
        <v>-275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7">
        <v>0.96</v>
      </c>
      <c r="B91" s="18" t="s">
        <v>21</v>
      </c>
      <c r="C91" s="20"/>
      <c r="D91" s="20"/>
      <c r="E91" s="20"/>
      <c r="F91" s="20"/>
      <c r="G91" s="20">
        <f t="shared" si="20"/>
        <v>0</v>
      </c>
      <c r="H91" s="13" t="str">
        <f t="shared" si="21"/>
        <v>#DIV/0!</v>
      </c>
      <c r="I91" s="39"/>
      <c r="J91" s="10">
        <f t="shared" si="22"/>
        <v>7</v>
      </c>
      <c r="K91" s="38">
        <f t="shared" si="23"/>
        <v>7</v>
      </c>
      <c r="L91" s="22"/>
      <c r="M91" s="18">
        <f t="shared" si="24"/>
        <v>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7">
        <v>0.815</v>
      </c>
      <c r="B92" s="18" t="s">
        <v>22</v>
      </c>
      <c r="C92" s="20"/>
      <c r="D92" s="20"/>
      <c r="E92" s="20"/>
      <c r="F92" s="20"/>
      <c r="G92" s="20">
        <f t="shared" si="20"/>
        <v>0</v>
      </c>
      <c r="H92" s="13" t="str">
        <f t="shared" si="21"/>
        <v>#DIV/0!</v>
      </c>
      <c r="I92" s="39"/>
      <c r="J92" s="10">
        <f t="shared" si="22"/>
        <v>649</v>
      </c>
      <c r="K92" s="38">
        <f t="shared" si="23"/>
        <v>649</v>
      </c>
      <c r="L92" s="22"/>
      <c r="M92" s="18">
        <f t="shared" si="24"/>
        <v>649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7"/>
      <c r="B93" s="18"/>
      <c r="C93" s="20"/>
      <c r="D93" s="20"/>
      <c r="E93" s="20"/>
      <c r="F93" s="20"/>
      <c r="G93" s="20">
        <f t="shared" si="20"/>
        <v>0</v>
      </c>
      <c r="H93" s="13" t="str">
        <f t="shared" si="21"/>
        <v>#DIV/0!</v>
      </c>
      <c r="I93" s="39"/>
      <c r="J93" s="10">
        <f t="shared" si="22"/>
        <v>0</v>
      </c>
      <c r="K93" s="38">
        <f t="shared" si="23"/>
        <v>0</v>
      </c>
      <c r="L93" s="22"/>
      <c r="M93" s="18">
        <f t="shared" si="24"/>
        <v>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7"/>
      <c r="B94" s="18"/>
      <c r="C94" s="20"/>
      <c r="D94" s="20"/>
      <c r="E94" s="20"/>
      <c r="F94" s="20"/>
      <c r="G94" s="20">
        <f t="shared" si="20"/>
        <v>0</v>
      </c>
      <c r="H94" s="13" t="str">
        <f t="shared" si="21"/>
        <v>#DIV/0!</v>
      </c>
      <c r="I94" s="39"/>
      <c r="J94" s="10">
        <f t="shared" si="22"/>
        <v>0</v>
      </c>
      <c r="K94" s="38">
        <f t="shared" si="23"/>
        <v>0</v>
      </c>
      <c r="L94" s="22"/>
      <c r="M94" s="18">
        <f t="shared" si="24"/>
        <v>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7"/>
      <c r="B95" s="18"/>
      <c r="C95" s="20"/>
      <c r="D95" s="20"/>
      <c r="E95" s="20"/>
      <c r="F95" s="20"/>
      <c r="G95" s="20">
        <f t="shared" si="20"/>
        <v>0</v>
      </c>
      <c r="H95" s="13" t="str">
        <f t="shared" si="21"/>
        <v>#DIV/0!</v>
      </c>
      <c r="I95" s="39"/>
      <c r="J95" s="10">
        <f t="shared" si="22"/>
        <v>0</v>
      </c>
      <c r="K95" s="38">
        <f t="shared" si="23"/>
        <v>0</v>
      </c>
      <c r="L95" s="22"/>
      <c r="M95" s="18">
        <f t="shared" si="24"/>
        <v>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7"/>
      <c r="B96" s="18"/>
      <c r="C96" s="20"/>
      <c r="D96" s="20"/>
      <c r="E96" s="20"/>
      <c r="F96" s="20"/>
      <c r="G96" s="20">
        <f t="shared" si="20"/>
        <v>0</v>
      </c>
      <c r="H96" s="13" t="str">
        <f t="shared" si="21"/>
        <v>#DIV/0!</v>
      </c>
      <c r="I96" s="39"/>
      <c r="J96" s="10">
        <f t="shared" si="22"/>
        <v>0</v>
      </c>
      <c r="K96" s="38">
        <f t="shared" si="23"/>
        <v>0</v>
      </c>
      <c r="L96" s="22"/>
      <c r="M96" s="18">
        <f t="shared" si="24"/>
        <v>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7"/>
      <c r="B97" s="25"/>
      <c r="C97" s="20"/>
      <c r="D97" s="20"/>
      <c r="E97" s="20"/>
      <c r="F97" s="20"/>
      <c r="G97" s="20">
        <f t="shared" si="20"/>
        <v>0</v>
      </c>
      <c r="H97" s="13" t="str">
        <f t="shared" si="21"/>
        <v>#DIV/0!</v>
      </c>
      <c r="I97" s="39"/>
      <c r="J97" s="10">
        <f t="shared" si="22"/>
        <v>0</v>
      </c>
      <c r="K97" s="38">
        <f t="shared" si="23"/>
        <v>0</v>
      </c>
      <c r="L97" s="22"/>
      <c r="M97" s="18">
        <f t="shared" si="24"/>
        <v>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7"/>
      <c r="B98" s="25" t="s">
        <v>23</v>
      </c>
      <c r="C98" s="20"/>
      <c r="D98" s="20"/>
      <c r="E98" s="20"/>
      <c r="F98" s="20"/>
      <c r="G98" s="20">
        <f t="shared" si="20"/>
        <v>0</v>
      </c>
      <c r="H98" s="13" t="str">
        <f t="shared" si="21"/>
        <v>#DIV/0!</v>
      </c>
      <c r="I98" s="39"/>
      <c r="J98" s="10">
        <f t="shared" si="22"/>
        <v>80600</v>
      </c>
      <c r="K98" s="38">
        <f t="shared" si="23"/>
        <v>80600</v>
      </c>
      <c r="L98" s="22"/>
      <c r="M98" s="18">
        <f t="shared" si="24"/>
        <v>80600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6" t="s">
        <v>24</v>
      </c>
      <c r="B99" s="27"/>
      <c r="C99" s="28"/>
      <c r="D99" s="28"/>
      <c r="E99" s="28"/>
      <c r="F99" s="28"/>
      <c r="G99" s="28">
        <f t="shared" si="20"/>
        <v>0</v>
      </c>
      <c r="H99" s="40" t="str">
        <f t="shared" si="21"/>
        <v>#DIV/0!</v>
      </c>
      <c r="I99" s="39"/>
      <c r="J99" s="10">
        <f t="shared" si="22"/>
        <v>0</v>
      </c>
      <c r="K99" s="38">
        <f t="shared" si="23"/>
        <v>0</v>
      </c>
      <c r="L99" s="29"/>
      <c r="M99" s="25">
        <f t="shared" si="24"/>
        <v>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5"/>
      <c r="B100" s="25"/>
      <c r="C100" s="25"/>
      <c r="D100" s="25" t="s">
        <v>25</v>
      </c>
      <c r="E100" s="28">
        <f>SUM(E83:E99)</f>
        <v>0</v>
      </c>
      <c r="F100" s="25"/>
      <c r="G100" s="25"/>
      <c r="H100" s="25"/>
      <c r="I100" s="25"/>
      <c r="J100" s="25"/>
      <c r="K100" s="30" t="s">
        <v>26</v>
      </c>
      <c r="L100" s="30">
        <f>SUM(L83:L99)</f>
        <v>0</v>
      </c>
      <c r="M100" s="2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 t="s">
        <v>0</v>
      </c>
      <c r="B101" s="4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6"/>
      <c r="B102" s="7" t="s">
        <v>1</v>
      </c>
      <c r="C102" s="7" t="s">
        <v>2</v>
      </c>
      <c r="D102" s="7" t="s">
        <v>3</v>
      </c>
      <c r="E102" s="7" t="s">
        <v>4</v>
      </c>
      <c r="F102" s="7" t="s">
        <v>5</v>
      </c>
      <c r="G102" s="7" t="s">
        <v>6</v>
      </c>
      <c r="H102" s="7" t="s">
        <v>7</v>
      </c>
      <c r="I102" s="7" t="s">
        <v>8</v>
      </c>
      <c r="J102" s="7" t="s">
        <v>9</v>
      </c>
      <c r="K102" s="7" t="s">
        <v>10</v>
      </c>
      <c r="L102" s="7" t="s">
        <v>11</v>
      </c>
      <c r="M102" s="8" t="s">
        <v>12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9"/>
      <c r="B103" s="10" t="s">
        <v>13</v>
      </c>
      <c r="C103" s="12"/>
      <c r="D103" s="12"/>
      <c r="E103" s="12"/>
      <c r="F103" s="12"/>
      <c r="G103" s="12">
        <f t="shared" ref="G103:G119" si="25">C103-F103</f>
        <v>0</v>
      </c>
      <c r="H103" s="13" t="str">
        <f t="shared" ref="H103:H119" si="26">D103/G103</f>
        <v>#DIV/0!</v>
      </c>
      <c r="I103" s="42"/>
      <c r="J103" s="10">
        <f t="shared" ref="J103:J119" si="27">M83</f>
        <v>367.5</v>
      </c>
      <c r="K103" s="36">
        <f t="shared" ref="K103:K119" si="28">(G103*I103)+J103</f>
        <v>367.5</v>
      </c>
      <c r="L103" s="32"/>
      <c r="M103" s="10">
        <f t="shared" ref="M103:M119" si="29">K103-L103</f>
        <v>367.5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7">
        <v>1.07</v>
      </c>
      <c r="B104" s="18" t="s">
        <v>14</v>
      </c>
      <c r="C104" s="20"/>
      <c r="D104" s="20"/>
      <c r="E104" s="20"/>
      <c r="F104" s="20"/>
      <c r="G104" s="20">
        <f t="shared" si="25"/>
        <v>0</v>
      </c>
      <c r="H104" s="13" t="str">
        <f t="shared" si="26"/>
        <v>#DIV/0!</v>
      </c>
      <c r="I104" s="39"/>
      <c r="J104" s="10">
        <f t="shared" si="27"/>
        <v>85684</v>
      </c>
      <c r="K104" s="38">
        <f t="shared" si="28"/>
        <v>85684</v>
      </c>
      <c r="L104" s="22"/>
      <c r="M104" s="18">
        <f t="shared" si="29"/>
        <v>85684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7">
        <v>0.96</v>
      </c>
      <c r="B105" s="18" t="s">
        <v>15</v>
      </c>
      <c r="C105" s="20"/>
      <c r="D105" s="20"/>
      <c r="E105" s="20"/>
      <c r="F105" s="20"/>
      <c r="G105" s="20">
        <f t="shared" si="25"/>
        <v>0</v>
      </c>
      <c r="H105" s="13" t="str">
        <f t="shared" si="26"/>
        <v>#DIV/0!</v>
      </c>
      <c r="I105" s="39"/>
      <c r="J105" s="10">
        <f t="shared" si="27"/>
        <v>72253</v>
      </c>
      <c r="K105" s="38">
        <f t="shared" si="28"/>
        <v>72253</v>
      </c>
      <c r="L105" s="22"/>
      <c r="M105" s="18">
        <f t="shared" si="29"/>
        <v>72253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7">
        <v>0.865</v>
      </c>
      <c r="B106" s="18" t="s">
        <v>16</v>
      </c>
      <c r="C106" s="20"/>
      <c r="D106" s="20"/>
      <c r="E106" s="20"/>
      <c r="F106" s="20"/>
      <c r="G106" s="20">
        <f t="shared" si="25"/>
        <v>0</v>
      </c>
      <c r="H106" s="13" t="str">
        <f t="shared" si="26"/>
        <v>#DIV/0!</v>
      </c>
      <c r="I106" s="39"/>
      <c r="J106" s="10">
        <f t="shared" si="27"/>
        <v>720</v>
      </c>
      <c r="K106" s="38">
        <f t="shared" si="28"/>
        <v>720</v>
      </c>
      <c r="L106" s="22"/>
      <c r="M106" s="18">
        <f t="shared" si="29"/>
        <v>720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7">
        <v>0.885</v>
      </c>
      <c r="B107" s="18" t="s">
        <v>17</v>
      </c>
      <c r="C107" s="20"/>
      <c r="D107" s="20"/>
      <c r="E107" s="20"/>
      <c r="F107" s="20"/>
      <c r="G107" s="20">
        <f t="shared" si="25"/>
        <v>0</v>
      </c>
      <c r="H107" s="13" t="str">
        <f t="shared" si="26"/>
        <v>#DIV/0!</v>
      </c>
      <c r="I107" s="39"/>
      <c r="J107" s="10">
        <f t="shared" si="27"/>
        <v>81</v>
      </c>
      <c r="K107" s="38">
        <f t="shared" si="28"/>
        <v>81</v>
      </c>
      <c r="L107" s="22"/>
      <c r="M107" s="18">
        <f t="shared" si="29"/>
        <v>81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7"/>
      <c r="B108" s="18" t="s">
        <v>18</v>
      </c>
      <c r="C108" s="20"/>
      <c r="D108" s="20"/>
      <c r="E108" s="20"/>
      <c r="F108" s="20"/>
      <c r="G108" s="20">
        <f t="shared" si="25"/>
        <v>0</v>
      </c>
      <c r="H108" s="13" t="str">
        <f t="shared" si="26"/>
        <v>#DIV/0!</v>
      </c>
      <c r="I108" s="39"/>
      <c r="J108" s="10">
        <f t="shared" si="27"/>
        <v>668</v>
      </c>
      <c r="K108" s="38">
        <f t="shared" si="28"/>
        <v>668</v>
      </c>
      <c r="L108" s="22"/>
      <c r="M108" s="18">
        <f t="shared" si="29"/>
        <v>668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7">
        <v>0.85</v>
      </c>
      <c r="B109" s="18" t="s">
        <v>19</v>
      </c>
      <c r="C109" s="20"/>
      <c r="D109" s="20"/>
      <c r="E109" s="20"/>
      <c r="F109" s="20"/>
      <c r="G109" s="20">
        <f t="shared" si="25"/>
        <v>0</v>
      </c>
      <c r="H109" s="13" t="str">
        <f t="shared" si="26"/>
        <v>#DIV/0!</v>
      </c>
      <c r="I109" s="39"/>
      <c r="J109" s="10">
        <f t="shared" si="27"/>
        <v>360</v>
      </c>
      <c r="K109" s="38">
        <f t="shared" si="28"/>
        <v>360</v>
      </c>
      <c r="L109" s="22"/>
      <c r="M109" s="18">
        <f t="shared" si="29"/>
        <v>360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7">
        <v>0.93</v>
      </c>
      <c r="B110" s="18" t="s">
        <v>20</v>
      </c>
      <c r="C110" s="20"/>
      <c r="D110" s="20"/>
      <c r="E110" s="20"/>
      <c r="F110" s="20"/>
      <c r="G110" s="20">
        <f t="shared" si="25"/>
        <v>0</v>
      </c>
      <c r="H110" s="13" t="str">
        <f t="shared" si="26"/>
        <v>#DIV/0!</v>
      </c>
      <c r="I110" s="39"/>
      <c r="J110" s="10">
        <f t="shared" si="27"/>
        <v>-275</v>
      </c>
      <c r="K110" s="38">
        <f t="shared" si="28"/>
        <v>-275</v>
      </c>
      <c r="L110" s="22"/>
      <c r="M110" s="18">
        <f t="shared" si="29"/>
        <v>-275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7">
        <v>0.96</v>
      </c>
      <c r="B111" s="18" t="s">
        <v>21</v>
      </c>
      <c r="C111" s="20"/>
      <c r="D111" s="20"/>
      <c r="E111" s="20"/>
      <c r="F111" s="20"/>
      <c r="G111" s="20">
        <f t="shared" si="25"/>
        <v>0</v>
      </c>
      <c r="H111" s="13" t="str">
        <f t="shared" si="26"/>
        <v>#DIV/0!</v>
      </c>
      <c r="I111" s="39"/>
      <c r="J111" s="10">
        <f t="shared" si="27"/>
        <v>7</v>
      </c>
      <c r="K111" s="38">
        <f t="shared" si="28"/>
        <v>7</v>
      </c>
      <c r="L111" s="22"/>
      <c r="M111" s="18">
        <f t="shared" si="29"/>
        <v>7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7">
        <v>0.815</v>
      </c>
      <c r="B112" s="18" t="s">
        <v>22</v>
      </c>
      <c r="C112" s="20"/>
      <c r="D112" s="20"/>
      <c r="E112" s="20"/>
      <c r="F112" s="20"/>
      <c r="G112" s="20">
        <f t="shared" si="25"/>
        <v>0</v>
      </c>
      <c r="H112" s="13" t="str">
        <f t="shared" si="26"/>
        <v>#DIV/0!</v>
      </c>
      <c r="I112" s="39"/>
      <c r="J112" s="10">
        <f t="shared" si="27"/>
        <v>649</v>
      </c>
      <c r="K112" s="38">
        <f t="shared" si="28"/>
        <v>649</v>
      </c>
      <c r="L112" s="22"/>
      <c r="M112" s="18">
        <f t="shared" si="29"/>
        <v>649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7"/>
      <c r="B113" s="18"/>
      <c r="C113" s="20"/>
      <c r="D113" s="20"/>
      <c r="E113" s="20"/>
      <c r="F113" s="20"/>
      <c r="G113" s="20">
        <f t="shared" si="25"/>
        <v>0</v>
      </c>
      <c r="H113" s="13" t="str">
        <f t="shared" si="26"/>
        <v>#DIV/0!</v>
      </c>
      <c r="I113" s="39"/>
      <c r="J113" s="10">
        <f t="shared" si="27"/>
        <v>0</v>
      </c>
      <c r="K113" s="38">
        <f t="shared" si="28"/>
        <v>0</v>
      </c>
      <c r="L113" s="22"/>
      <c r="M113" s="18">
        <f t="shared" si="29"/>
        <v>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7"/>
      <c r="B114" s="18"/>
      <c r="C114" s="20"/>
      <c r="D114" s="20"/>
      <c r="E114" s="20"/>
      <c r="F114" s="20"/>
      <c r="G114" s="20">
        <f t="shared" si="25"/>
        <v>0</v>
      </c>
      <c r="H114" s="13" t="str">
        <f t="shared" si="26"/>
        <v>#DIV/0!</v>
      </c>
      <c r="I114" s="39"/>
      <c r="J114" s="10">
        <f t="shared" si="27"/>
        <v>0</v>
      </c>
      <c r="K114" s="38">
        <f t="shared" si="28"/>
        <v>0</v>
      </c>
      <c r="L114" s="22"/>
      <c r="M114" s="18">
        <f t="shared" si="29"/>
        <v>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7"/>
      <c r="B115" s="18"/>
      <c r="C115" s="20"/>
      <c r="D115" s="20"/>
      <c r="E115" s="20"/>
      <c r="F115" s="20"/>
      <c r="G115" s="20">
        <f t="shared" si="25"/>
        <v>0</v>
      </c>
      <c r="H115" s="13" t="str">
        <f t="shared" si="26"/>
        <v>#DIV/0!</v>
      </c>
      <c r="I115" s="39"/>
      <c r="J115" s="10">
        <f t="shared" si="27"/>
        <v>0</v>
      </c>
      <c r="K115" s="38">
        <f t="shared" si="28"/>
        <v>0</v>
      </c>
      <c r="L115" s="22"/>
      <c r="M115" s="18">
        <f t="shared" si="29"/>
        <v>0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7"/>
      <c r="B116" s="18"/>
      <c r="C116" s="20"/>
      <c r="D116" s="20"/>
      <c r="E116" s="20"/>
      <c r="F116" s="20"/>
      <c r="G116" s="20">
        <f t="shared" si="25"/>
        <v>0</v>
      </c>
      <c r="H116" s="13" t="str">
        <f t="shared" si="26"/>
        <v>#DIV/0!</v>
      </c>
      <c r="I116" s="39"/>
      <c r="J116" s="10">
        <f t="shared" si="27"/>
        <v>0</v>
      </c>
      <c r="K116" s="38">
        <f t="shared" si="28"/>
        <v>0</v>
      </c>
      <c r="L116" s="22"/>
      <c r="M116" s="18">
        <f t="shared" si="29"/>
        <v>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7"/>
      <c r="B117" s="25"/>
      <c r="C117" s="20"/>
      <c r="D117" s="20"/>
      <c r="E117" s="20"/>
      <c r="F117" s="20"/>
      <c r="G117" s="20">
        <f t="shared" si="25"/>
        <v>0</v>
      </c>
      <c r="H117" s="13" t="str">
        <f t="shared" si="26"/>
        <v>#DIV/0!</v>
      </c>
      <c r="I117" s="39"/>
      <c r="J117" s="10">
        <f t="shared" si="27"/>
        <v>0</v>
      </c>
      <c r="K117" s="38">
        <f t="shared" si="28"/>
        <v>0</v>
      </c>
      <c r="L117" s="22"/>
      <c r="M117" s="18">
        <f t="shared" si="29"/>
        <v>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7"/>
      <c r="B118" s="25" t="s">
        <v>23</v>
      </c>
      <c r="C118" s="20"/>
      <c r="D118" s="20"/>
      <c r="E118" s="20"/>
      <c r="F118" s="20"/>
      <c r="G118" s="20">
        <f t="shared" si="25"/>
        <v>0</v>
      </c>
      <c r="H118" s="13" t="str">
        <f t="shared" si="26"/>
        <v>#DIV/0!</v>
      </c>
      <c r="I118" s="39"/>
      <c r="J118" s="10">
        <f t="shared" si="27"/>
        <v>80600</v>
      </c>
      <c r="K118" s="38">
        <f t="shared" si="28"/>
        <v>80600</v>
      </c>
      <c r="L118" s="22"/>
      <c r="M118" s="18">
        <f t="shared" si="29"/>
        <v>80600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6" t="s">
        <v>24</v>
      </c>
      <c r="B119" s="27"/>
      <c r="C119" s="28"/>
      <c r="D119" s="28"/>
      <c r="E119" s="28"/>
      <c r="F119" s="28"/>
      <c r="G119" s="28">
        <f t="shared" si="25"/>
        <v>0</v>
      </c>
      <c r="H119" s="40" t="str">
        <f t="shared" si="26"/>
        <v>#DIV/0!</v>
      </c>
      <c r="I119" s="39"/>
      <c r="J119" s="10">
        <f t="shared" si="27"/>
        <v>0</v>
      </c>
      <c r="K119" s="38">
        <f t="shared" si="28"/>
        <v>0</v>
      </c>
      <c r="L119" s="29"/>
      <c r="M119" s="25">
        <f t="shared" si="29"/>
        <v>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25"/>
      <c r="B120" s="25"/>
      <c r="C120" s="25"/>
      <c r="D120" s="25" t="s">
        <v>25</v>
      </c>
      <c r="E120" s="28">
        <f>SUM(E103:E119)</f>
        <v>0</v>
      </c>
      <c r="F120" s="25"/>
      <c r="G120" s="25"/>
      <c r="H120" s="25"/>
      <c r="I120" s="25"/>
      <c r="J120" s="25"/>
      <c r="K120" s="30" t="s">
        <v>26</v>
      </c>
      <c r="L120" s="30">
        <f>SUM(L103:L119)</f>
        <v>0</v>
      </c>
      <c r="M120" s="2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" t="s">
        <v>0</v>
      </c>
      <c r="B121" s="4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6"/>
      <c r="B122" s="7" t="s">
        <v>1</v>
      </c>
      <c r="C122" s="7" t="s">
        <v>2</v>
      </c>
      <c r="D122" s="7" t="s">
        <v>3</v>
      </c>
      <c r="E122" s="7" t="s">
        <v>4</v>
      </c>
      <c r="F122" s="7" t="s">
        <v>5</v>
      </c>
      <c r="G122" s="7" t="s">
        <v>6</v>
      </c>
      <c r="H122" s="7" t="s">
        <v>7</v>
      </c>
      <c r="I122" s="7" t="s">
        <v>8</v>
      </c>
      <c r="J122" s="7" t="s">
        <v>9</v>
      </c>
      <c r="K122" s="7" t="s">
        <v>10</v>
      </c>
      <c r="L122" s="7" t="s">
        <v>11</v>
      </c>
      <c r="M122" s="8" t="s">
        <v>12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9"/>
      <c r="B123" s="10" t="s">
        <v>13</v>
      </c>
      <c r="C123" s="12"/>
      <c r="D123" s="12"/>
      <c r="E123" s="12"/>
      <c r="F123" s="12"/>
      <c r="G123" s="12">
        <f t="shared" ref="G123:G139" si="30">C123-F123</f>
        <v>0</v>
      </c>
      <c r="H123" s="13" t="str">
        <f t="shared" ref="H123:H139" si="31">D123/G123</f>
        <v>#DIV/0!</v>
      </c>
      <c r="I123" s="42"/>
      <c r="J123" s="10">
        <f t="shared" ref="J123:J139" si="32">M103</f>
        <v>367.5</v>
      </c>
      <c r="K123" s="36">
        <f t="shared" ref="K123:K139" si="33">(G123*I123)+J123</f>
        <v>367.5</v>
      </c>
      <c r="L123" s="32"/>
      <c r="M123" s="10">
        <f t="shared" ref="M123:M139" si="34">K123-L123</f>
        <v>367.5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7">
        <v>1.07</v>
      </c>
      <c r="B124" s="18" t="s">
        <v>14</v>
      </c>
      <c r="C124" s="20"/>
      <c r="D124" s="20"/>
      <c r="E124" s="20"/>
      <c r="F124" s="20"/>
      <c r="G124" s="20">
        <f t="shared" si="30"/>
        <v>0</v>
      </c>
      <c r="H124" s="13" t="str">
        <f t="shared" si="31"/>
        <v>#DIV/0!</v>
      </c>
      <c r="I124" s="39"/>
      <c r="J124" s="10">
        <f t="shared" si="32"/>
        <v>85684</v>
      </c>
      <c r="K124" s="38">
        <f t="shared" si="33"/>
        <v>85684</v>
      </c>
      <c r="L124" s="22"/>
      <c r="M124" s="18">
        <f t="shared" si="34"/>
        <v>85684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7">
        <v>0.96</v>
      </c>
      <c r="B125" s="18" t="s">
        <v>15</v>
      </c>
      <c r="C125" s="20"/>
      <c r="D125" s="20"/>
      <c r="E125" s="20"/>
      <c r="F125" s="20"/>
      <c r="G125" s="20">
        <f t="shared" si="30"/>
        <v>0</v>
      </c>
      <c r="H125" s="13" t="str">
        <f t="shared" si="31"/>
        <v>#DIV/0!</v>
      </c>
      <c r="I125" s="39"/>
      <c r="J125" s="10">
        <f t="shared" si="32"/>
        <v>72253</v>
      </c>
      <c r="K125" s="38">
        <f t="shared" si="33"/>
        <v>72253</v>
      </c>
      <c r="L125" s="22"/>
      <c r="M125" s="18">
        <f t="shared" si="34"/>
        <v>72253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7">
        <v>0.865</v>
      </c>
      <c r="B126" s="18" t="s">
        <v>16</v>
      </c>
      <c r="C126" s="20"/>
      <c r="D126" s="20"/>
      <c r="E126" s="20"/>
      <c r="F126" s="20"/>
      <c r="G126" s="20">
        <f t="shared" si="30"/>
        <v>0</v>
      </c>
      <c r="H126" s="13" t="str">
        <f t="shared" si="31"/>
        <v>#DIV/0!</v>
      </c>
      <c r="I126" s="39"/>
      <c r="J126" s="10">
        <f t="shared" si="32"/>
        <v>720</v>
      </c>
      <c r="K126" s="38">
        <f t="shared" si="33"/>
        <v>720</v>
      </c>
      <c r="L126" s="22"/>
      <c r="M126" s="18">
        <f t="shared" si="34"/>
        <v>720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7">
        <v>0.885</v>
      </c>
      <c r="B127" s="18" t="s">
        <v>17</v>
      </c>
      <c r="C127" s="20"/>
      <c r="D127" s="20"/>
      <c r="E127" s="20"/>
      <c r="F127" s="20"/>
      <c r="G127" s="20">
        <f t="shared" si="30"/>
        <v>0</v>
      </c>
      <c r="H127" s="13" t="str">
        <f t="shared" si="31"/>
        <v>#DIV/0!</v>
      </c>
      <c r="I127" s="39"/>
      <c r="J127" s="10">
        <f t="shared" si="32"/>
        <v>81</v>
      </c>
      <c r="K127" s="38">
        <f t="shared" si="33"/>
        <v>81</v>
      </c>
      <c r="L127" s="22"/>
      <c r="M127" s="18">
        <f t="shared" si="34"/>
        <v>81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7"/>
      <c r="B128" s="18" t="s">
        <v>18</v>
      </c>
      <c r="C128" s="20"/>
      <c r="D128" s="20"/>
      <c r="E128" s="20"/>
      <c r="F128" s="20"/>
      <c r="G128" s="20">
        <f t="shared" si="30"/>
        <v>0</v>
      </c>
      <c r="H128" s="13" t="str">
        <f t="shared" si="31"/>
        <v>#DIV/0!</v>
      </c>
      <c r="I128" s="39"/>
      <c r="J128" s="10">
        <f t="shared" si="32"/>
        <v>668</v>
      </c>
      <c r="K128" s="38">
        <f t="shared" si="33"/>
        <v>668</v>
      </c>
      <c r="L128" s="22"/>
      <c r="M128" s="18">
        <f t="shared" si="34"/>
        <v>668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7">
        <v>0.85</v>
      </c>
      <c r="B129" s="18" t="s">
        <v>19</v>
      </c>
      <c r="C129" s="20"/>
      <c r="D129" s="20"/>
      <c r="E129" s="20"/>
      <c r="F129" s="20"/>
      <c r="G129" s="20">
        <f t="shared" si="30"/>
        <v>0</v>
      </c>
      <c r="H129" s="13" t="str">
        <f t="shared" si="31"/>
        <v>#DIV/0!</v>
      </c>
      <c r="I129" s="39"/>
      <c r="J129" s="10">
        <f t="shared" si="32"/>
        <v>360</v>
      </c>
      <c r="K129" s="38">
        <f t="shared" si="33"/>
        <v>360</v>
      </c>
      <c r="L129" s="22"/>
      <c r="M129" s="18">
        <f t="shared" si="34"/>
        <v>360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7">
        <v>0.93</v>
      </c>
      <c r="B130" s="18" t="s">
        <v>20</v>
      </c>
      <c r="C130" s="20"/>
      <c r="D130" s="20"/>
      <c r="E130" s="20"/>
      <c r="F130" s="20"/>
      <c r="G130" s="20">
        <f t="shared" si="30"/>
        <v>0</v>
      </c>
      <c r="H130" s="13" t="str">
        <f t="shared" si="31"/>
        <v>#DIV/0!</v>
      </c>
      <c r="I130" s="39"/>
      <c r="J130" s="10">
        <f t="shared" si="32"/>
        <v>-275</v>
      </c>
      <c r="K130" s="38">
        <f t="shared" si="33"/>
        <v>-275</v>
      </c>
      <c r="L130" s="22"/>
      <c r="M130" s="18">
        <f t="shared" si="34"/>
        <v>-275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7">
        <v>0.96</v>
      </c>
      <c r="B131" s="18" t="s">
        <v>21</v>
      </c>
      <c r="C131" s="20"/>
      <c r="D131" s="20"/>
      <c r="E131" s="20"/>
      <c r="F131" s="20"/>
      <c r="G131" s="20">
        <f t="shared" si="30"/>
        <v>0</v>
      </c>
      <c r="H131" s="13" t="str">
        <f t="shared" si="31"/>
        <v>#DIV/0!</v>
      </c>
      <c r="I131" s="39"/>
      <c r="J131" s="10">
        <f t="shared" si="32"/>
        <v>7</v>
      </c>
      <c r="K131" s="38">
        <f t="shared" si="33"/>
        <v>7</v>
      </c>
      <c r="L131" s="22"/>
      <c r="M131" s="18">
        <f t="shared" si="34"/>
        <v>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7">
        <v>0.815</v>
      </c>
      <c r="B132" s="18" t="s">
        <v>22</v>
      </c>
      <c r="C132" s="20"/>
      <c r="D132" s="20"/>
      <c r="E132" s="20"/>
      <c r="F132" s="20"/>
      <c r="G132" s="20">
        <f t="shared" si="30"/>
        <v>0</v>
      </c>
      <c r="H132" s="13" t="str">
        <f t="shared" si="31"/>
        <v>#DIV/0!</v>
      </c>
      <c r="I132" s="39"/>
      <c r="J132" s="10">
        <f t="shared" si="32"/>
        <v>649</v>
      </c>
      <c r="K132" s="38">
        <f t="shared" si="33"/>
        <v>649</v>
      </c>
      <c r="L132" s="22"/>
      <c r="M132" s="18">
        <f t="shared" si="34"/>
        <v>649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7"/>
      <c r="B133" s="18"/>
      <c r="C133" s="20"/>
      <c r="D133" s="20"/>
      <c r="E133" s="20"/>
      <c r="F133" s="20"/>
      <c r="G133" s="20">
        <f t="shared" si="30"/>
        <v>0</v>
      </c>
      <c r="H133" s="13" t="str">
        <f t="shared" si="31"/>
        <v>#DIV/0!</v>
      </c>
      <c r="I133" s="39"/>
      <c r="J133" s="10">
        <f t="shared" si="32"/>
        <v>0</v>
      </c>
      <c r="K133" s="38">
        <f t="shared" si="33"/>
        <v>0</v>
      </c>
      <c r="L133" s="22"/>
      <c r="M133" s="18">
        <f t="shared" si="34"/>
        <v>0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7"/>
      <c r="B134" s="18"/>
      <c r="C134" s="20"/>
      <c r="D134" s="20"/>
      <c r="E134" s="20"/>
      <c r="F134" s="20"/>
      <c r="G134" s="20">
        <f t="shared" si="30"/>
        <v>0</v>
      </c>
      <c r="H134" s="13" t="str">
        <f t="shared" si="31"/>
        <v>#DIV/0!</v>
      </c>
      <c r="I134" s="39"/>
      <c r="J134" s="10">
        <f t="shared" si="32"/>
        <v>0</v>
      </c>
      <c r="K134" s="38">
        <f t="shared" si="33"/>
        <v>0</v>
      </c>
      <c r="L134" s="22"/>
      <c r="M134" s="18">
        <f t="shared" si="34"/>
        <v>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7"/>
      <c r="B135" s="18"/>
      <c r="C135" s="20"/>
      <c r="D135" s="20"/>
      <c r="E135" s="20"/>
      <c r="F135" s="20"/>
      <c r="G135" s="20">
        <f t="shared" si="30"/>
        <v>0</v>
      </c>
      <c r="H135" s="13" t="str">
        <f t="shared" si="31"/>
        <v>#DIV/0!</v>
      </c>
      <c r="I135" s="39"/>
      <c r="J135" s="10">
        <f t="shared" si="32"/>
        <v>0</v>
      </c>
      <c r="K135" s="38">
        <f t="shared" si="33"/>
        <v>0</v>
      </c>
      <c r="L135" s="22"/>
      <c r="M135" s="18">
        <f t="shared" si="34"/>
        <v>0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7"/>
      <c r="B136" s="18"/>
      <c r="C136" s="20"/>
      <c r="D136" s="20"/>
      <c r="E136" s="20"/>
      <c r="F136" s="20"/>
      <c r="G136" s="20">
        <f t="shared" si="30"/>
        <v>0</v>
      </c>
      <c r="H136" s="13" t="str">
        <f t="shared" si="31"/>
        <v>#DIV/0!</v>
      </c>
      <c r="I136" s="39"/>
      <c r="J136" s="10">
        <f t="shared" si="32"/>
        <v>0</v>
      </c>
      <c r="K136" s="38">
        <f t="shared" si="33"/>
        <v>0</v>
      </c>
      <c r="L136" s="22"/>
      <c r="M136" s="18">
        <f t="shared" si="34"/>
        <v>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7"/>
      <c r="B137" s="25"/>
      <c r="C137" s="20"/>
      <c r="D137" s="20"/>
      <c r="E137" s="20"/>
      <c r="F137" s="20"/>
      <c r="G137" s="20">
        <f t="shared" si="30"/>
        <v>0</v>
      </c>
      <c r="H137" s="13" t="str">
        <f t="shared" si="31"/>
        <v>#DIV/0!</v>
      </c>
      <c r="I137" s="39"/>
      <c r="J137" s="10">
        <f t="shared" si="32"/>
        <v>0</v>
      </c>
      <c r="K137" s="38">
        <f t="shared" si="33"/>
        <v>0</v>
      </c>
      <c r="L137" s="22"/>
      <c r="M137" s="18">
        <f t="shared" si="34"/>
        <v>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7"/>
      <c r="B138" s="25" t="s">
        <v>23</v>
      </c>
      <c r="C138" s="20"/>
      <c r="D138" s="20"/>
      <c r="E138" s="20"/>
      <c r="F138" s="20"/>
      <c r="G138" s="20">
        <f t="shared" si="30"/>
        <v>0</v>
      </c>
      <c r="H138" s="13" t="str">
        <f t="shared" si="31"/>
        <v>#DIV/0!</v>
      </c>
      <c r="I138" s="39"/>
      <c r="J138" s="10">
        <f t="shared" si="32"/>
        <v>80600</v>
      </c>
      <c r="K138" s="38">
        <f t="shared" si="33"/>
        <v>80600</v>
      </c>
      <c r="L138" s="22"/>
      <c r="M138" s="18">
        <f t="shared" si="34"/>
        <v>80600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26" t="s">
        <v>24</v>
      </c>
      <c r="B139" s="27"/>
      <c r="C139" s="28"/>
      <c r="D139" s="28"/>
      <c r="E139" s="28"/>
      <c r="F139" s="28"/>
      <c r="G139" s="28">
        <f t="shared" si="30"/>
        <v>0</v>
      </c>
      <c r="H139" s="40" t="str">
        <f t="shared" si="31"/>
        <v>#DIV/0!</v>
      </c>
      <c r="I139" s="39"/>
      <c r="J139" s="10">
        <f t="shared" si="32"/>
        <v>0</v>
      </c>
      <c r="K139" s="38">
        <f t="shared" si="33"/>
        <v>0</v>
      </c>
      <c r="L139" s="29"/>
      <c r="M139" s="25">
        <f t="shared" si="34"/>
        <v>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25"/>
      <c r="B140" s="25"/>
      <c r="C140" s="25"/>
      <c r="D140" s="25" t="s">
        <v>25</v>
      </c>
      <c r="E140" s="28">
        <f>SUM(E123:E139)</f>
        <v>0</v>
      </c>
      <c r="F140" s="25"/>
      <c r="G140" s="25"/>
      <c r="H140" s="25"/>
      <c r="I140" s="25"/>
      <c r="J140" s="25"/>
      <c r="K140" s="30" t="s">
        <v>26</v>
      </c>
      <c r="L140" s="30">
        <f>SUM(L123:L139)</f>
        <v>0</v>
      </c>
      <c r="M140" s="2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43" t="s">
        <v>30</v>
      </c>
      <c r="L144" s="5">
        <f>L20+L40+L60+L80+L100+L120+L140</f>
        <v>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3" t="s">
        <v>28</v>
      </c>
      <c r="L146" s="34">
        <f>E20+E40+E60+E80+E100+E120+E140</f>
        <v>0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H3:H19">
    <cfRule type="cellIs" dxfId="0" priority="1" operator="between">
      <formula>0</formula>
      <formula>0.7399</formula>
    </cfRule>
  </conditionalFormatting>
  <conditionalFormatting sqref="H3:H19">
    <cfRule type="cellIs" dxfId="1" priority="2" operator="between">
      <formula>0.74</formula>
      <formula>0.7499</formula>
    </cfRule>
  </conditionalFormatting>
  <conditionalFormatting sqref="H3:H19">
    <cfRule type="cellIs" dxfId="2" priority="3" operator="between">
      <formula>75%</formula>
      <formula>100%</formula>
    </cfRule>
  </conditionalFormatting>
  <conditionalFormatting sqref="H23:H39">
    <cfRule type="cellIs" dxfId="0" priority="4" operator="between">
      <formula>0</formula>
      <formula>0.7399</formula>
    </cfRule>
  </conditionalFormatting>
  <conditionalFormatting sqref="H23:H39">
    <cfRule type="cellIs" dxfId="1" priority="5" operator="between">
      <formula>0.74</formula>
      <formula>0.7499</formula>
    </cfRule>
  </conditionalFormatting>
  <conditionalFormatting sqref="H23:H39">
    <cfRule type="cellIs" dxfId="2" priority="6" operator="between">
      <formula>75%</formula>
      <formula>100%</formula>
    </cfRule>
  </conditionalFormatting>
  <conditionalFormatting sqref="H43:H59">
    <cfRule type="cellIs" dxfId="0" priority="7" operator="between">
      <formula>0</formula>
      <formula>0.7399</formula>
    </cfRule>
  </conditionalFormatting>
  <conditionalFormatting sqref="H43:H59">
    <cfRule type="cellIs" dxfId="1" priority="8" operator="between">
      <formula>0.74</formula>
      <formula>0.7499</formula>
    </cfRule>
  </conditionalFormatting>
  <conditionalFormatting sqref="H43:H59">
    <cfRule type="cellIs" dxfId="2" priority="9" operator="between">
      <formula>75%</formula>
      <formula>100%</formula>
    </cfRule>
  </conditionalFormatting>
  <conditionalFormatting sqref="H63:H79">
    <cfRule type="cellIs" dxfId="0" priority="10" operator="between">
      <formula>0</formula>
      <formula>0.7399</formula>
    </cfRule>
  </conditionalFormatting>
  <conditionalFormatting sqref="H63:H79">
    <cfRule type="cellIs" dxfId="1" priority="11" operator="between">
      <formula>0.74</formula>
      <formula>0.7499</formula>
    </cfRule>
  </conditionalFormatting>
  <conditionalFormatting sqref="H63:H79">
    <cfRule type="cellIs" dxfId="2" priority="12" operator="between">
      <formula>75%</formula>
      <formula>100%</formula>
    </cfRule>
  </conditionalFormatting>
  <conditionalFormatting sqref="H83:H99">
    <cfRule type="cellIs" dxfId="0" priority="13" operator="between">
      <formula>0</formula>
      <formula>0.7399</formula>
    </cfRule>
  </conditionalFormatting>
  <conditionalFormatting sqref="H83:H99">
    <cfRule type="cellIs" dxfId="1" priority="14" operator="between">
      <formula>0.74</formula>
      <formula>0.7499</formula>
    </cfRule>
  </conditionalFormatting>
  <conditionalFormatting sqref="H83:H99">
    <cfRule type="cellIs" dxfId="2" priority="15" operator="between">
      <formula>75%</formula>
      <formula>100%</formula>
    </cfRule>
  </conditionalFormatting>
  <conditionalFormatting sqref="H103:H119">
    <cfRule type="cellIs" dxfId="0" priority="16" operator="between">
      <formula>0</formula>
      <formula>0.7399</formula>
    </cfRule>
  </conditionalFormatting>
  <conditionalFormatting sqref="H103:H119">
    <cfRule type="cellIs" dxfId="1" priority="17" operator="between">
      <formula>0.74</formula>
      <formula>0.7499</formula>
    </cfRule>
  </conditionalFormatting>
  <conditionalFormatting sqref="H103:H119">
    <cfRule type="cellIs" dxfId="2" priority="18" operator="between">
      <formula>75%</formula>
      <formula>100%</formula>
    </cfRule>
  </conditionalFormatting>
  <conditionalFormatting sqref="H123:H139">
    <cfRule type="cellIs" dxfId="0" priority="19" operator="between">
      <formula>0</formula>
      <formula>0.7399</formula>
    </cfRule>
  </conditionalFormatting>
  <conditionalFormatting sqref="H123:H139">
    <cfRule type="cellIs" dxfId="1" priority="20" operator="between">
      <formula>0.74</formula>
      <formula>0.7499</formula>
    </cfRule>
  </conditionalFormatting>
  <conditionalFormatting sqref="H123:H139">
    <cfRule type="cellIs" dxfId="2" priority="21" operator="between">
      <formula>75%</formula>
      <formula>100%</formula>
    </cfRule>
  </conditionalFormatting>
  <dataValidations>
    <dataValidation type="list" allowBlank="1" showErrorMessage="1" sqref="I3:I19 I23:I39 I43:I59 I63:I79 I83:I99 I103:I119 I123:I139">
      <formula1>"2400,2700,3000"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86"/>
    <col customWidth="1" min="3" max="3" width="13.43"/>
    <col customWidth="1" min="4" max="5" width="13.14"/>
    <col customWidth="1" min="6" max="6" width="13.0"/>
    <col customWidth="1" min="7" max="7" width="14.14"/>
    <col customWidth="1" min="8" max="8" width="15.43"/>
    <col customWidth="1" min="9" max="9" width="17.71"/>
    <col customWidth="1" min="10" max="10" width="13.0"/>
    <col customWidth="1" min="11" max="11" width="12.0"/>
    <col customWidth="1" min="12" max="12" width="11.86"/>
    <col customWidth="1" min="13" max="13" width="12.14"/>
    <col customWidth="1" min="14" max="26" width="9.14"/>
  </cols>
  <sheetData>
    <row r="1" ht="20.25" customHeight="1">
      <c r="A1" s="1" t="s">
        <v>0</v>
      </c>
      <c r="B1" s="41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0.75" customHeight="1">
      <c r="A2" s="6"/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8" t="s">
        <v>12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9"/>
      <c r="B3" s="10" t="s">
        <v>13</v>
      </c>
      <c r="C3" s="12"/>
      <c r="D3" s="12"/>
      <c r="E3" s="12"/>
      <c r="F3" s="12"/>
      <c r="G3" s="12">
        <f t="shared" ref="G3:G19" si="1">C3-F3</f>
        <v>0</v>
      </c>
      <c r="H3" s="13" t="str">
        <f t="shared" ref="H3:H19" si="2">D3/G3</f>
        <v>#DIV/0!</v>
      </c>
      <c r="I3" s="42"/>
      <c r="J3" s="10">
        <f>'3rd Week'!M123</f>
        <v>367.5</v>
      </c>
      <c r="K3" s="36">
        <f t="shared" ref="K3:K19" si="3">(G3*I3)+J3</f>
        <v>367.5</v>
      </c>
      <c r="L3" s="32"/>
      <c r="M3" s="10">
        <f t="shared" ref="M3:M19" si="4">K3-L3</f>
        <v>367.5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7">
        <v>1.07</v>
      </c>
      <c r="B4" s="18" t="s">
        <v>14</v>
      </c>
      <c r="C4" s="20"/>
      <c r="D4" s="20"/>
      <c r="E4" s="20"/>
      <c r="F4" s="20"/>
      <c r="G4" s="20">
        <f t="shared" si="1"/>
        <v>0</v>
      </c>
      <c r="H4" s="13" t="str">
        <f t="shared" si="2"/>
        <v>#DIV/0!</v>
      </c>
      <c r="I4" s="39"/>
      <c r="J4" s="10">
        <f>'3rd Week'!M124</f>
        <v>85684</v>
      </c>
      <c r="K4" s="38">
        <f t="shared" si="3"/>
        <v>85684</v>
      </c>
      <c r="L4" s="22"/>
      <c r="M4" s="18">
        <f t="shared" si="4"/>
        <v>85684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7">
        <v>0.96</v>
      </c>
      <c r="B5" s="18" t="s">
        <v>15</v>
      </c>
      <c r="C5" s="20"/>
      <c r="D5" s="20"/>
      <c r="E5" s="20"/>
      <c r="F5" s="20"/>
      <c r="G5" s="20">
        <f t="shared" si="1"/>
        <v>0</v>
      </c>
      <c r="H5" s="13" t="str">
        <f t="shared" si="2"/>
        <v>#DIV/0!</v>
      </c>
      <c r="I5" s="39"/>
      <c r="J5" s="10">
        <f>'3rd Week'!M125</f>
        <v>72253</v>
      </c>
      <c r="K5" s="38">
        <f t="shared" si="3"/>
        <v>72253</v>
      </c>
      <c r="L5" s="22"/>
      <c r="M5" s="18">
        <f t="shared" si="4"/>
        <v>72253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7">
        <v>0.865</v>
      </c>
      <c r="B6" s="18" t="s">
        <v>16</v>
      </c>
      <c r="C6" s="20"/>
      <c r="D6" s="20"/>
      <c r="E6" s="20"/>
      <c r="F6" s="20"/>
      <c r="G6" s="20">
        <f t="shared" si="1"/>
        <v>0</v>
      </c>
      <c r="H6" s="13" t="str">
        <f t="shared" si="2"/>
        <v>#DIV/0!</v>
      </c>
      <c r="I6" s="39"/>
      <c r="J6" s="10">
        <f>'3rd Week'!M126</f>
        <v>720</v>
      </c>
      <c r="K6" s="38">
        <f t="shared" si="3"/>
        <v>720</v>
      </c>
      <c r="L6" s="22"/>
      <c r="M6" s="18">
        <f t="shared" si="4"/>
        <v>720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7">
        <v>0.885</v>
      </c>
      <c r="B7" s="18" t="s">
        <v>17</v>
      </c>
      <c r="C7" s="20"/>
      <c r="D7" s="20"/>
      <c r="E7" s="20"/>
      <c r="F7" s="20"/>
      <c r="G7" s="20">
        <f t="shared" si="1"/>
        <v>0</v>
      </c>
      <c r="H7" s="13" t="str">
        <f t="shared" si="2"/>
        <v>#DIV/0!</v>
      </c>
      <c r="I7" s="39"/>
      <c r="J7" s="10">
        <f>'3rd Week'!M127</f>
        <v>81</v>
      </c>
      <c r="K7" s="38">
        <f t="shared" si="3"/>
        <v>81</v>
      </c>
      <c r="L7" s="22"/>
      <c r="M7" s="18">
        <f t="shared" si="4"/>
        <v>81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7"/>
      <c r="B8" s="18" t="s">
        <v>18</v>
      </c>
      <c r="C8" s="20"/>
      <c r="D8" s="20"/>
      <c r="E8" s="20"/>
      <c r="F8" s="20"/>
      <c r="G8" s="20">
        <f t="shared" si="1"/>
        <v>0</v>
      </c>
      <c r="H8" s="13" t="str">
        <f t="shared" si="2"/>
        <v>#DIV/0!</v>
      </c>
      <c r="I8" s="39"/>
      <c r="J8" s="10">
        <f>'3rd Week'!M128</f>
        <v>668</v>
      </c>
      <c r="K8" s="38">
        <f t="shared" si="3"/>
        <v>668</v>
      </c>
      <c r="L8" s="22"/>
      <c r="M8" s="18">
        <f t="shared" si="4"/>
        <v>668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7">
        <v>0.85</v>
      </c>
      <c r="B9" s="18" t="s">
        <v>19</v>
      </c>
      <c r="C9" s="20"/>
      <c r="D9" s="20"/>
      <c r="E9" s="20"/>
      <c r="F9" s="20"/>
      <c r="G9" s="20">
        <f t="shared" si="1"/>
        <v>0</v>
      </c>
      <c r="H9" s="13" t="str">
        <f t="shared" si="2"/>
        <v>#DIV/0!</v>
      </c>
      <c r="I9" s="39"/>
      <c r="J9" s="10">
        <f>'3rd Week'!M129</f>
        <v>360</v>
      </c>
      <c r="K9" s="38">
        <f t="shared" si="3"/>
        <v>360</v>
      </c>
      <c r="L9" s="22"/>
      <c r="M9" s="18">
        <f t="shared" si="4"/>
        <v>360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7">
        <v>0.93</v>
      </c>
      <c r="B10" s="18" t="s">
        <v>20</v>
      </c>
      <c r="C10" s="20"/>
      <c r="D10" s="20"/>
      <c r="E10" s="20"/>
      <c r="F10" s="20"/>
      <c r="G10" s="20">
        <f t="shared" si="1"/>
        <v>0</v>
      </c>
      <c r="H10" s="13" t="str">
        <f t="shared" si="2"/>
        <v>#DIV/0!</v>
      </c>
      <c r="I10" s="39"/>
      <c r="J10" s="10">
        <f>'3rd Week'!M130</f>
        <v>-275</v>
      </c>
      <c r="K10" s="38">
        <f t="shared" si="3"/>
        <v>-275</v>
      </c>
      <c r="L10" s="22"/>
      <c r="M10" s="18">
        <f t="shared" si="4"/>
        <v>-275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7">
        <v>0.96</v>
      </c>
      <c r="B11" s="18" t="s">
        <v>21</v>
      </c>
      <c r="C11" s="20"/>
      <c r="D11" s="20"/>
      <c r="E11" s="20"/>
      <c r="F11" s="20"/>
      <c r="G11" s="20">
        <f t="shared" si="1"/>
        <v>0</v>
      </c>
      <c r="H11" s="13" t="str">
        <f t="shared" si="2"/>
        <v>#DIV/0!</v>
      </c>
      <c r="I11" s="39"/>
      <c r="J11" s="10">
        <f>'3rd Week'!M131</f>
        <v>7</v>
      </c>
      <c r="K11" s="38">
        <f t="shared" si="3"/>
        <v>7</v>
      </c>
      <c r="L11" s="22"/>
      <c r="M11" s="18">
        <f t="shared" si="4"/>
        <v>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7">
        <v>0.815</v>
      </c>
      <c r="B12" s="18" t="s">
        <v>22</v>
      </c>
      <c r="C12" s="20"/>
      <c r="D12" s="20"/>
      <c r="E12" s="20"/>
      <c r="F12" s="20"/>
      <c r="G12" s="20">
        <f t="shared" si="1"/>
        <v>0</v>
      </c>
      <c r="H12" s="13" t="str">
        <f t="shared" si="2"/>
        <v>#DIV/0!</v>
      </c>
      <c r="I12" s="39"/>
      <c r="J12" s="10">
        <f>'3rd Week'!M132</f>
        <v>649</v>
      </c>
      <c r="K12" s="38">
        <f t="shared" si="3"/>
        <v>649</v>
      </c>
      <c r="L12" s="22"/>
      <c r="M12" s="18">
        <f t="shared" si="4"/>
        <v>649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7"/>
      <c r="B13" s="18"/>
      <c r="C13" s="20"/>
      <c r="D13" s="20"/>
      <c r="E13" s="20"/>
      <c r="F13" s="20"/>
      <c r="G13" s="20">
        <f t="shared" si="1"/>
        <v>0</v>
      </c>
      <c r="H13" s="13" t="str">
        <f t="shared" si="2"/>
        <v>#DIV/0!</v>
      </c>
      <c r="I13" s="39"/>
      <c r="J13" s="10">
        <f>'3rd Week'!M133</f>
        <v>0</v>
      </c>
      <c r="K13" s="38">
        <f t="shared" si="3"/>
        <v>0</v>
      </c>
      <c r="L13" s="22"/>
      <c r="M13" s="18">
        <f t="shared" si="4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7"/>
      <c r="B14" s="18"/>
      <c r="C14" s="20"/>
      <c r="D14" s="20"/>
      <c r="E14" s="20"/>
      <c r="F14" s="20"/>
      <c r="G14" s="20">
        <f t="shared" si="1"/>
        <v>0</v>
      </c>
      <c r="H14" s="13" t="str">
        <f t="shared" si="2"/>
        <v>#DIV/0!</v>
      </c>
      <c r="I14" s="39"/>
      <c r="J14" s="10">
        <f>'3rd Week'!M134</f>
        <v>0</v>
      </c>
      <c r="K14" s="38">
        <f t="shared" si="3"/>
        <v>0</v>
      </c>
      <c r="L14" s="22"/>
      <c r="M14" s="18">
        <f t="shared" si="4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7"/>
      <c r="B15" s="18"/>
      <c r="C15" s="20"/>
      <c r="D15" s="20"/>
      <c r="E15" s="20"/>
      <c r="F15" s="20"/>
      <c r="G15" s="20">
        <f t="shared" si="1"/>
        <v>0</v>
      </c>
      <c r="H15" s="13" t="str">
        <f t="shared" si="2"/>
        <v>#DIV/0!</v>
      </c>
      <c r="I15" s="39"/>
      <c r="J15" s="10">
        <f>'3rd Week'!M135</f>
        <v>0</v>
      </c>
      <c r="K15" s="38">
        <f t="shared" si="3"/>
        <v>0</v>
      </c>
      <c r="L15" s="22"/>
      <c r="M15" s="18">
        <f t="shared" si="4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7"/>
      <c r="B16" s="18"/>
      <c r="C16" s="20"/>
      <c r="D16" s="20"/>
      <c r="E16" s="20"/>
      <c r="F16" s="20"/>
      <c r="G16" s="20">
        <f t="shared" si="1"/>
        <v>0</v>
      </c>
      <c r="H16" s="13" t="str">
        <f t="shared" si="2"/>
        <v>#DIV/0!</v>
      </c>
      <c r="I16" s="39"/>
      <c r="J16" s="10">
        <f>'3rd Week'!M136</f>
        <v>0</v>
      </c>
      <c r="K16" s="38">
        <f t="shared" si="3"/>
        <v>0</v>
      </c>
      <c r="L16" s="22"/>
      <c r="M16" s="18">
        <f t="shared" si="4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7"/>
      <c r="B17" s="25"/>
      <c r="C17" s="20"/>
      <c r="D17" s="20"/>
      <c r="E17" s="20"/>
      <c r="F17" s="20"/>
      <c r="G17" s="20">
        <f t="shared" si="1"/>
        <v>0</v>
      </c>
      <c r="H17" s="13" t="str">
        <f t="shared" si="2"/>
        <v>#DIV/0!</v>
      </c>
      <c r="I17" s="39"/>
      <c r="J17" s="10">
        <f>'3rd Week'!M137</f>
        <v>0</v>
      </c>
      <c r="K17" s="38">
        <f t="shared" si="3"/>
        <v>0</v>
      </c>
      <c r="L17" s="22"/>
      <c r="M17" s="18">
        <f t="shared" si="4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7"/>
      <c r="B18" s="25" t="s">
        <v>23</v>
      </c>
      <c r="C18" s="20"/>
      <c r="D18" s="20"/>
      <c r="E18" s="20"/>
      <c r="F18" s="20"/>
      <c r="G18" s="20">
        <f t="shared" si="1"/>
        <v>0</v>
      </c>
      <c r="H18" s="13" t="str">
        <f t="shared" si="2"/>
        <v>#DIV/0!</v>
      </c>
      <c r="I18" s="39"/>
      <c r="J18" s="10">
        <f>'3rd Week'!M138</f>
        <v>80600</v>
      </c>
      <c r="K18" s="38">
        <f t="shared" si="3"/>
        <v>80600</v>
      </c>
      <c r="L18" s="22"/>
      <c r="M18" s="18">
        <f t="shared" si="4"/>
        <v>80600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6" t="s">
        <v>24</v>
      </c>
      <c r="B19" s="27"/>
      <c r="C19" s="28"/>
      <c r="D19" s="28"/>
      <c r="E19" s="28"/>
      <c r="F19" s="28"/>
      <c r="G19" s="28">
        <f t="shared" si="1"/>
        <v>0</v>
      </c>
      <c r="H19" s="40" t="str">
        <f t="shared" si="2"/>
        <v>#DIV/0!</v>
      </c>
      <c r="I19" s="39"/>
      <c r="J19" s="10">
        <f>'3rd Week'!M139</f>
        <v>0</v>
      </c>
      <c r="K19" s="38">
        <f t="shared" si="3"/>
        <v>0</v>
      </c>
      <c r="L19" s="29"/>
      <c r="M19" s="25">
        <f t="shared" si="4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5"/>
      <c r="B20" s="25"/>
      <c r="C20" s="25"/>
      <c r="D20" s="25" t="s">
        <v>25</v>
      </c>
      <c r="E20" s="28">
        <f>SUM(E3:E19)</f>
        <v>0</v>
      </c>
      <c r="F20" s="25"/>
      <c r="G20" s="25"/>
      <c r="H20" s="25"/>
      <c r="I20" s="25"/>
      <c r="J20" s="25"/>
      <c r="K20" s="30" t="s">
        <v>26</v>
      </c>
      <c r="L20" s="30">
        <f>SUM(L3:L19)</f>
        <v>0</v>
      </c>
      <c r="M20" s="2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" t="s">
        <v>0</v>
      </c>
      <c r="B21" s="41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"/>
      <c r="B22" s="7" t="s">
        <v>1</v>
      </c>
      <c r="C22" s="7" t="s">
        <v>2</v>
      </c>
      <c r="D22" s="7" t="s">
        <v>3</v>
      </c>
      <c r="E22" s="7" t="s">
        <v>4</v>
      </c>
      <c r="F22" s="7" t="s">
        <v>5</v>
      </c>
      <c r="G22" s="7" t="s">
        <v>6</v>
      </c>
      <c r="H22" s="7" t="s">
        <v>7</v>
      </c>
      <c r="I22" s="7" t="s">
        <v>8</v>
      </c>
      <c r="J22" s="7" t="s">
        <v>9</v>
      </c>
      <c r="K22" s="7" t="s">
        <v>10</v>
      </c>
      <c r="L22" s="7" t="s">
        <v>11</v>
      </c>
      <c r="M22" s="8" t="s">
        <v>12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9"/>
      <c r="B23" s="10" t="s">
        <v>13</v>
      </c>
      <c r="C23" s="12"/>
      <c r="D23" s="12"/>
      <c r="E23" s="12"/>
      <c r="F23" s="12"/>
      <c r="G23" s="12">
        <f t="shared" ref="G23:G39" si="5">C23-F23</f>
        <v>0</v>
      </c>
      <c r="H23" s="13" t="str">
        <f t="shared" ref="H23:H39" si="6">D23/G23</f>
        <v>#DIV/0!</v>
      </c>
      <c r="I23" s="42"/>
      <c r="J23" s="10">
        <f t="shared" ref="J23:J39" si="7">M3</f>
        <v>367.5</v>
      </c>
      <c r="K23" s="36">
        <f t="shared" ref="K23:K39" si="8">(G23*I23)+J23</f>
        <v>367.5</v>
      </c>
      <c r="L23" s="32"/>
      <c r="M23" s="10">
        <f t="shared" ref="M23:M39" si="9">K23-L23</f>
        <v>367.5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7">
        <v>1.07</v>
      </c>
      <c r="B24" s="18" t="s">
        <v>14</v>
      </c>
      <c r="C24" s="20"/>
      <c r="D24" s="20"/>
      <c r="E24" s="20"/>
      <c r="F24" s="20"/>
      <c r="G24" s="20">
        <f t="shared" si="5"/>
        <v>0</v>
      </c>
      <c r="H24" s="13" t="str">
        <f t="shared" si="6"/>
        <v>#DIV/0!</v>
      </c>
      <c r="I24" s="39"/>
      <c r="J24" s="10">
        <f t="shared" si="7"/>
        <v>85684</v>
      </c>
      <c r="K24" s="38">
        <f t="shared" si="8"/>
        <v>85684</v>
      </c>
      <c r="L24" s="22"/>
      <c r="M24" s="18">
        <f t="shared" si="9"/>
        <v>85684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7">
        <v>0.96</v>
      </c>
      <c r="B25" s="18" t="s">
        <v>15</v>
      </c>
      <c r="C25" s="20"/>
      <c r="D25" s="20"/>
      <c r="E25" s="20"/>
      <c r="F25" s="20"/>
      <c r="G25" s="20">
        <f t="shared" si="5"/>
        <v>0</v>
      </c>
      <c r="H25" s="13" t="str">
        <f t="shared" si="6"/>
        <v>#DIV/0!</v>
      </c>
      <c r="I25" s="39"/>
      <c r="J25" s="10">
        <f t="shared" si="7"/>
        <v>72253</v>
      </c>
      <c r="K25" s="38">
        <f t="shared" si="8"/>
        <v>72253</v>
      </c>
      <c r="L25" s="22"/>
      <c r="M25" s="18">
        <f t="shared" si="9"/>
        <v>72253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7">
        <v>0.865</v>
      </c>
      <c r="B26" s="18" t="s">
        <v>16</v>
      </c>
      <c r="C26" s="20"/>
      <c r="D26" s="20"/>
      <c r="E26" s="20"/>
      <c r="F26" s="20"/>
      <c r="G26" s="20">
        <f t="shared" si="5"/>
        <v>0</v>
      </c>
      <c r="H26" s="13" t="str">
        <f t="shared" si="6"/>
        <v>#DIV/0!</v>
      </c>
      <c r="I26" s="39"/>
      <c r="J26" s="10">
        <f t="shared" si="7"/>
        <v>720</v>
      </c>
      <c r="K26" s="38">
        <f t="shared" si="8"/>
        <v>720</v>
      </c>
      <c r="L26" s="22"/>
      <c r="M26" s="18">
        <f t="shared" si="9"/>
        <v>720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7">
        <v>0.885</v>
      </c>
      <c r="B27" s="18" t="s">
        <v>17</v>
      </c>
      <c r="C27" s="20"/>
      <c r="D27" s="20"/>
      <c r="E27" s="20"/>
      <c r="F27" s="20"/>
      <c r="G27" s="20">
        <f t="shared" si="5"/>
        <v>0</v>
      </c>
      <c r="H27" s="13" t="str">
        <f t="shared" si="6"/>
        <v>#DIV/0!</v>
      </c>
      <c r="I27" s="39"/>
      <c r="J27" s="10">
        <f t="shared" si="7"/>
        <v>81</v>
      </c>
      <c r="K27" s="38">
        <f t="shared" si="8"/>
        <v>81</v>
      </c>
      <c r="L27" s="22"/>
      <c r="M27" s="18">
        <f t="shared" si="9"/>
        <v>81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7"/>
      <c r="B28" s="18" t="s">
        <v>18</v>
      </c>
      <c r="C28" s="20"/>
      <c r="D28" s="20"/>
      <c r="E28" s="20"/>
      <c r="F28" s="20"/>
      <c r="G28" s="20">
        <f t="shared" si="5"/>
        <v>0</v>
      </c>
      <c r="H28" s="13" t="str">
        <f t="shared" si="6"/>
        <v>#DIV/0!</v>
      </c>
      <c r="I28" s="39"/>
      <c r="J28" s="10">
        <f t="shared" si="7"/>
        <v>668</v>
      </c>
      <c r="K28" s="38">
        <f t="shared" si="8"/>
        <v>668</v>
      </c>
      <c r="L28" s="22"/>
      <c r="M28" s="18">
        <f t="shared" si="9"/>
        <v>668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7">
        <v>0.85</v>
      </c>
      <c r="B29" s="18" t="s">
        <v>19</v>
      </c>
      <c r="C29" s="20"/>
      <c r="D29" s="20"/>
      <c r="E29" s="20"/>
      <c r="F29" s="20"/>
      <c r="G29" s="20">
        <f t="shared" si="5"/>
        <v>0</v>
      </c>
      <c r="H29" s="13" t="str">
        <f t="shared" si="6"/>
        <v>#DIV/0!</v>
      </c>
      <c r="I29" s="39"/>
      <c r="J29" s="10">
        <f t="shared" si="7"/>
        <v>360</v>
      </c>
      <c r="K29" s="38">
        <f t="shared" si="8"/>
        <v>360</v>
      </c>
      <c r="L29" s="22"/>
      <c r="M29" s="18">
        <f t="shared" si="9"/>
        <v>360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7">
        <v>0.93</v>
      </c>
      <c r="B30" s="18" t="s">
        <v>20</v>
      </c>
      <c r="C30" s="20"/>
      <c r="D30" s="20"/>
      <c r="E30" s="20"/>
      <c r="F30" s="20"/>
      <c r="G30" s="20">
        <f t="shared" si="5"/>
        <v>0</v>
      </c>
      <c r="H30" s="13" t="str">
        <f t="shared" si="6"/>
        <v>#DIV/0!</v>
      </c>
      <c r="I30" s="39"/>
      <c r="J30" s="10">
        <f t="shared" si="7"/>
        <v>-275</v>
      </c>
      <c r="K30" s="38">
        <f t="shared" si="8"/>
        <v>-275</v>
      </c>
      <c r="L30" s="22"/>
      <c r="M30" s="18">
        <f t="shared" si="9"/>
        <v>-275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7">
        <v>0.96</v>
      </c>
      <c r="B31" s="18" t="s">
        <v>21</v>
      </c>
      <c r="C31" s="20"/>
      <c r="D31" s="20"/>
      <c r="E31" s="20"/>
      <c r="F31" s="20"/>
      <c r="G31" s="20">
        <f t="shared" si="5"/>
        <v>0</v>
      </c>
      <c r="H31" s="13" t="str">
        <f t="shared" si="6"/>
        <v>#DIV/0!</v>
      </c>
      <c r="I31" s="39"/>
      <c r="J31" s="10">
        <f t="shared" si="7"/>
        <v>7</v>
      </c>
      <c r="K31" s="38">
        <f t="shared" si="8"/>
        <v>7</v>
      </c>
      <c r="L31" s="22"/>
      <c r="M31" s="18">
        <f t="shared" si="9"/>
        <v>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7">
        <v>0.815</v>
      </c>
      <c r="B32" s="18" t="s">
        <v>22</v>
      </c>
      <c r="C32" s="20"/>
      <c r="D32" s="20"/>
      <c r="E32" s="20"/>
      <c r="F32" s="20"/>
      <c r="G32" s="20">
        <f t="shared" si="5"/>
        <v>0</v>
      </c>
      <c r="H32" s="13" t="str">
        <f t="shared" si="6"/>
        <v>#DIV/0!</v>
      </c>
      <c r="I32" s="39"/>
      <c r="J32" s="10">
        <f t="shared" si="7"/>
        <v>649</v>
      </c>
      <c r="K32" s="38">
        <f t="shared" si="8"/>
        <v>649</v>
      </c>
      <c r="L32" s="22"/>
      <c r="M32" s="18">
        <f t="shared" si="9"/>
        <v>649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7"/>
      <c r="B33" s="18"/>
      <c r="C33" s="20"/>
      <c r="D33" s="20"/>
      <c r="E33" s="20"/>
      <c r="F33" s="20"/>
      <c r="G33" s="20">
        <f t="shared" si="5"/>
        <v>0</v>
      </c>
      <c r="H33" s="13" t="str">
        <f t="shared" si="6"/>
        <v>#DIV/0!</v>
      </c>
      <c r="I33" s="39"/>
      <c r="J33" s="10">
        <f t="shared" si="7"/>
        <v>0</v>
      </c>
      <c r="K33" s="38">
        <f t="shared" si="8"/>
        <v>0</v>
      </c>
      <c r="L33" s="22"/>
      <c r="M33" s="18">
        <f t="shared" si="9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7"/>
      <c r="B34" s="18"/>
      <c r="C34" s="20"/>
      <c r="D34" s="20"/>
      <c r="E34" s="20"/>
      <c r="F34" s="20"/>
      <c r="G34" s="20">
        <f t="shared" si="5"/>
        <v>0</v>
      </c>
      <c r="H34" s="13" t="str">
        <f t="shared" si="6"/>
        <v>#DIV/0!</v>
      </c>
      <c r="I34" s="39"/>
      <c r="J34" s="10">
        <f t="shared" si="7"/>
        <v>0</v>
      </c>
      <c r="K34" s="38">
        <f t="shared" si="8"/>
        <v>0</v>
      </c>
      <c r="L34" s="22"/>
      <c r="M34" s="18">
        <f t="shared" si="9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7"/>
      <c r="B35" s="18"/>
      <c r="C35" s="20"/>
      <c r="D35" s="20"/>
      <c r="E35" s="20"/>
      <c r="F35" s="20"/>
      <c r="G35" s="20">
        <f t="shared" si="5"/>
        <v>0</v>
      </c>
      <c r="H35" s="13" t="str">
        <f t="shared" si="6"/>
        <v>#DIV/0!</v>
      </c>
      <c r="I35" s="39"/>
      <c r="J35" s="10">
        <f t="shared" si="7"/>
        <v>0</v>
      </c>
      <c r="K35" s="38">
        <f t="shared" si="8"/>
        <v>0</v>
      </c>
      <c r="L35" s="22"/>
      <c r="M35" s="18">
        <f t="shared" si="9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7"/>
      <c r="B36" s="18"/>
      <c r="C36" s="20"/>
      <c r="D36" s="20"/>
      <c r="E36" s="20"/>
      <c r="F36" s="20"/>
      <c r="G36" s="20">
        <f t="shared" si="5"/>
        <v>0</v>
      </c>
      <c r="H36" s="13" t="str">
        <f t="shared" si="6"/>
        <v>#DIV/0!</v>
      </c>
      <c r="I36" s="39"/>
      <c r="J36" s="10">
        <f t="shared" si="7"/>
        <v>0</v>
      </c>
      <c r="K36" s="38">
        <f t="shared" si="8"/>
        <v>0</v>
      </c>
      <c r="L36" s="22"/>
      <c r="M36" s="18">
        <f t="shared" si="9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7"/>
      <c r="B37" s="25"/>
      <c r="C37" s="20"/>
      <c r="D37" s="20"/>
      <c r="E37" s="20"/>
      <c r="F37" s="20"/>
      <c r="G37" s="20">
        <f t="shared" si="5"/>
        <v>0</v>
      </c>
      <c r="H37" s="13" t="str">
        <f t="shared" si="6"/>
        <v>#DIV/0!</v>
      </c>
      <c r="I37" s="39"/>
      <c r="J37" s="10">
        <f t="shared" si="7"/>
        <v>0</v>
      </c>
      <c r="K37" s="38">
        <f t="shared" si="8"/>
        <v>0</v>
      </c>
      <c r="L37" s="22"/>
      <c r="M37" s="18">
        <f t="shared" si="9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7"/>
      <c r="B38" s="25" t="s">
        <v>23</v>
      </c>
      <c r="C38" s="20"/>
      <c r="D38" s="20"/>
      <c r="E38" s="20"/>
      <c r="F38" s="20"/>
      <c r="G38" s="20">
        <f t="shared" si="5"/>
        <v>0</v>
      </c>
      <c r="H38" s="13" t="str">
        <f t="shared" si="6"/>
        <v>#DIV/0!</v>
      </c>
      <c r="I38" s="39"/>
      <c r="J38" s="10">
        <f t="shared" si="7"/>
        <v>80600</v>
      </c>
      <c r="K38" s="38">
        <f t="shared" si="8"/>
        <v>80600</v>
      </c>
      <c r="L38" s="22"/>
      <c r="M38" s="18">
        <f t="shared" si="9"/>
        <v>80600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26" t="s">
        <v>24</v>
      </c>
      <c r="B39" s="27"/>
      <c r="C39" s="28"/>
      <c r="D39" s="28"/>
      <c r="E39" s="28"/>
      <c r="F39" s="28"/>
      <c r="G39" s="28">
        <f t="shared" si="5"/>
        <v>0</v>
      </c>
      <c r="H39" s="40" t="str">
        <f t="shared" si="6"/>
        <v>#DIV/0!</v>
      </c>
      <c r="I39" s="39"/>
      <c r="J39" s="10">
        <f t="shared" si="7"/>
        <v>0</v>
      </c>
      <c r="K39" s="38">
        <f t="shared" si="8"/>
        <v>0</v>
      </c>
      <c r="L39" s="29"/>
      <c r="M39" s="25">
        <f t="shared" si="9"/>
        <v>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25"/>
      <c r="B40" s="25"/>
      <c r="C40" s="25"/>
      <c r="D40" s="25" t="s">
        <v>25</v>
      </c>
      <c r="E40" s="28">
        <f>SUM(E23:E39)</f>
        <v>0</v>
      </c>
      <c r="F40" s="25"/>
      <c r="G40" s="25"/>
      <c r="H40" s="25"/>
      <c r="I40" s="25"/>
      <c r="J40" s="25"/>
      <c r="K40" s="30" t="s">
        <v>26</v>
      </c>
      <c r="L40" s="30">
        <f>SUM(L23:L39)</f>
        <v>0</v>
      </c>
      <c r="M40" s="2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 t="s">
        <v>0</v>
      </c>
      <c r="B41" s="41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"/>
      <c r="B42" s="7" t="s">
        <v>1</v>
      </c>
      <c r="C42" s="7" t="s">
        <v>2</v>
      </c>
      <c r="D42" s="7" t="s">
        <v>3</v>
      </c>
      <c r="E42" s="7" t="s">
        <v>4</v>
      </c>
      <c r="F42" s="7" t="s">
        <v>5</v>
      </c>
      <c r="G42" s="7" t="s">
        <v>6</v>
      </c>
      <c r="H42" s="7" t="s">
        <v>7</v>
      </c>
      <c r="I42" s="7" t="s">
        <v>8</v>
      </c>
      <c r="J42" s="7" t="s">
        <v>9</v>
      </c>
      <c r="K42" s="7" t="s">
        <v>10</v>
      </c>
      <c r="L42" s="7" t="s">
        <v>11</v>
      </c>
      <c r="M42" s="8" t="s">
        <v>12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9"/>
      <c r="B43" s="10" t="s">
        <v>13</v>
      </c>
      <c r="C43" s="12"/>
      <c r="D43" s="12"/>
      <c r="E43" s="12"/>
      <c r="F43" s="12"/>
      <c r="G43" s="12">
        <f t="shared" ref="G43:G59" si="10">C43-F43</f>
        <v>0</v>
      </c>
      <c r="H43" s="13" t="str">
        <f t="shared" ref="H43:H59" si="11">D43/G43</f>
        <v>#DIV/0!</v>
      </c>
      <c r="I43" s="42"/>
      <c r="J43" s="10">
        <f t="shared" ref="J43:J59" si="12">M23</f>
        <v>367.5</v>
      </c>
      <c r="K43" s="36">
        <f t="shared" ref="K43:K59" si="13">(G43*I43)+J43</f>
        <v>367.5</v>
      </c>
      <c r="L43" s="32"/>
      <c r="M43" s="10">
        <f t="shared" ref="M43:M59" si="14">K43-L43</f>
        <v>367.5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7">
        <v>1.07</v>
      </c>
      <c r="B44" s="18" t="s">
        <v>14</v>
      </c>
      <c r="C44" s="20"/>
      <c r="D44" s="20"/>
      <c r="E44" s="20"/>
      <c r="F44" s="20"/>
      <c r="G44" s="20">
        <f t="shared" si="10"/>
        <v>0</v>
      </c>
      <c r="H44" s="13" t="str">
        <f t="shared" si="11"/>
        <v>#DIV/0!</v>
      </c>
      <c r="I44" s="39"/>
      <c r="J44" s="10">
        <f t="shared" si="12"/>
        <v>85684</v>
      </c>
      <c r="K44" s="38">
        <f t="shared" si="13"/>
        <v>85684</v>
      </c>
      <c r="L44" s="22"/>
      <c r="M44" s="18">
        <f t="shared" si="14"/>
        <v>85684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7">
        <v>0.96</v>
      </c>
      <c r="B45" s="18" t="s">
        <v>15</v>
      </c>
      <c r="C45" s="20"/>
      <c r="D45" s="20"/>
      <c r="E45" s="20"/>
      <c r="F45" s="20"/>
      <c r="G45" s="20">
        <f t="shared" si="10"/>
        <v>0</v>
      </c>
      <c r="H45" s="13" t="str">
        <f t="shared" si="11"/>
        <v>#DIV/0!</v>
      </c>
      <c r="I45" s="39"/>
      <c r="J45" s="10">
        <f t="shared" si="12"/>
        <v>72253</v>
      </c>
      <c r="K45" s="38">
        <f t="shared" si="13"/>
        <v>72253</v>
      </c>
      <c r="L45" s="22"/>
      <c r="M45" s="18">
        <f t="shared" si="14"/>
        <v>72253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7">
        <v>0.865</v>
      </c>
      <c r="B46" s="18" t="s">
        <v>16</v>
      </c>
      <c r="C46" s="20"/>
      <c r="D46" s="20"/>
      <c r="E46" s="20"/>
      <c r="F46" s="20"/>
      <c r="G46" s="20">
        <f t="shared" si="10"/>
        <v>0</v>
      </c>
      <c r="H46" s="13" t="str">
        <f t="shared" si="11"/>
        <v>#DIV/0!</v>
      </c>
      <c r="I46" s="39"/>
      <c r="J46" s="10">
        <f t="shared" si="12"/>
        <v>720</v>
      </c>
      <c r="K46" s="38">
        <f t="shared" si="13"/>
        <v>720</v>
      </c>
      <c r="L46" s="22"/>
      <c r="M46" s="18">
        <f t="shared" si="14"/>
        <v>720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7">
        <v>0.885</v>
      </c>
      <c r="B47" s="18" t="s">
        <v>17</v>
      </c>
      <c r="C47" s="20"/>
      <c r="D47" s="20"/>
      <c r="E47" s="20"/>
      <c r="F47" s="20"/>
      <c r="G47" s="20">
        <f t="shared" si="10"/>
        <v>0</v>
      </c>
      <c r="H47" s="13" t="str">
        <f t="shared" si="11"/>
        <v>#DIV/0!</v>
      </c>
      <c r="I47" s="39"/>
      <c r="J47" s="10">
        <f t="shared" si="12"/>
        <v>81</v>
      </c>
      <c r="K47" s="38">
        <f t="shared" si="13"/>
        <v>81</v>
      </c>
      <c r="L47" s="22"/>
      <c r="M47" s="18">
        <f t="shared" si="14"/>
        <v>81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7"/>
      <c r="B48" s="18" t="s">
        <v>18</v>
      </c>
      <c r="C48" s="20"/>
      <c r="D48" s="20"/>
      <c r="E48" s="20"/>
      <c r="F48" s="20"/>
      <c r="G48" s="20">
        <f t="shared" si="10"/>
        <v>0</v>
      </c>
      <c r="H48" s="13" t="str">
        <f t="shared" si="11"/>
        <v>#DIV/0!</v>
      </c>
      <c r="I48" s="39"/>
      <c r="J48" s="10">
        <f t="shared" si="12"/>
        <v>668</v>
      </c>
      <c r="K48" s="38">
        <f t="shared" si="13"/>
        <v>668</v>
      </c>
      <c r="L48" s="22"/>
      <c r="M48" s="18">
        <f t="shared" si="14"/>
        <v>668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7">
        <v>0.85</v>
      </c>
      <c r="B49" s="18" t="s">
        <v>19</v>
      </c>
      <c r="C49" s="20"/>
      <c r="D49" s="20"/>
      <c r="E49" s="20"/>
      <c r="F49" s="20"/>
      <c r="G49" s="20">
        <f t="shared" si="10"/>
        <v>0</v>
      </c>
      <c r="H49" s="13" t="str">
        <f t="shared" si="11"/>
        <v>#DIV/0!</v>
      </c>
      <c r="I49" s="39"/>
      <c r="J49" s="10">
        <f t="shared" si="12"/>
        <v>360</v>
      </c>
      <c r="K49" s="38">
        <f t="shared" si="13"/>
        <v>360</v>
      </c>
      <c r="L49" s="22"/>
      <c r="M49" s="18">
        <f t="shared" si="14"/>
        <v>360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7">
        <v>0.93</v>
      </c>
      <c r="B50" s="18" t="s">
        <v>20</v>
      </c>
      <c r="C50" s="20"/>
      <c r="D50" s="20"/>
      <c r="E50" s="20"/>
      <c r="F50" s="20"/>
      <c r="G50" s="20">
        <f t="shared" si="10"/>
        <v>0</v>
      </c>
      <c r="H50" s="13" t="str">
        <f t="shared" si="11"/>
        <v>#DIV/0!</v>
      </c>
      <c r="I50" s="39"/>
      <c r="J50" s="10">
        <f t="shared" si="12"/>
        <v>-275</v>
      </c>
      <c r="K50" s="38">
        <f t="shared" si="13"/>
        <v>-275</v>
      </c>
      <c r="L50" s="22"/>
      <c r="M50" s="18">
        <f t="shared" si="14"/>
        <v>-275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7">
        <v>0.96</v>
      </c>
      <c r="B51" s="18" t="s">
        <v>21</v>
      </c>
      <c r="C51" s="20"/>
      <c r="D51" s="20"/>
      <c r="E51" s="20"/>
      <c r="F51" s="20"/>
      <c r="G51" s="20">
        <f t="shared" si="10"/>
        <v>0</v>
      </c>
      <c r="H51" s="13" t="str">
        <f t="shared" si="11"/>
        <v>#DIV/0!</v>
      </c>
      <c r="I51" s="39"/>
      <c r="J51" s="10">
        <f t="shared" si="12"/>
        <v>7</v>
      </c>
      <c r="K51" s="38">
        <f t="shared" si="13"/>
        <v>7</v>
      </c>
      <c r="L51" s="22"/>
      <c r="M51" s="18">
        <f t="shared" si="14"/>
        <v>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7">
        <v>0.815</v>
      </c>
      <c r="B52" s="18" t="s">
        <v>22</v>
      </c>
      <c r="C52" s="20"/>
      <c r="D52" s="20"/>
      <c r="E52" s="20"/>
      <c r="F52" s="20"/>
      <c r="G52" s="20">
        <f t="shared" si="10"/>
        <v>0</v>
      </c>
      <c r="H52" s="13" t="str">
        <f t="shared" si="11"/>
        <v>#DIV/0!</v>
      </c>
      <c r="I52" s="39"/>
      <c r="J52" s="10">
        <f t="shared" si="12"/>
        <v>649</v>
      </c>
      <c r="K52" s="38">
        <f t="shared" si="13"/>
        <v>649</v>
      </c>
      <c r="L52" s="22"/>
      <c r="M52" s="18">
        <f t="shared" si="14"/>
        <v>649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7"/>
      <c r="B53" s="18"/>
      <c r="C53" s="20"/>
      <c r="D53" s="20"/>
      <c r="E53" s="20"/>
      <c r="F53" s="20"/>
      <c r="G53" s="20">
        <f t="shared" si="10"/>
        <v>0</v>
      </c>
      <c r="H53" s="13" t="str">
        <f t="shared" si="11"/>
        <v>#DIV/0!</v>
      </c>
      <c r="I53" s="39"/>
      <c r="J53" s="10">
        <f t="shared" si="12"/>
        <v>0</v>
      </c>
      <c r="K53" s="38">
        <f t="shared" si="13"/>
        <v>0</v>
      </c>
      <c r="L53" s="22"/>
      <c r="M53" s="18">
        <f t="shared" si="14"/>
        <v>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7"/>
      <c r="B54" s="18"/>
      <c r="C54" s="20"/>
      <c r="D54" s="20"/>
      <c r="E54" s="20"/>
      <c r="F54" s="20"/>
      <c r="G54" s="20">
        <f t="shared" si="10"/>
        <v>0</v>
      </c>
      <c r="H54" s="13" t="str">
        <f t="shared" si="11"/>
        <v>#DIV/0!</v>
      </c>
      <c r="I54" s="39"/>
      <c r="J54" s="10">
        <f t="shared" si="12"/>
        <v>0</v>
      </c>
      <c r="K54" s="38">
        <f t="shared" si="13"/>
        <v>0</v>
      </c>
      <c r="L54" s="22"/>
      <c r="M54" s="18">
        <f t="shared" si="14"/>
        <v>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7"/>
      <c r="B55" s="18"/>
      <c r="C55" s="20"/>
      <c r="D55" s="20"/>
      <c r="E55" s="20"/>
      <c r="F55" s="20"/>
      <c r="G55" s="20">
        <f t="shared" si="10"/>
        <v>0</v>
      </c>
      <c r="H55" s="13" t="str">
        <f t="shared" si="11"/>
        <v>#DIV/0!</v>
      </c>
      <c r="I55" s="39"/>
      <c r="J55" s="10">
        <f t="shared" si="12"/>
        <v>0</v>
      </c>
      <c r="K55" s="38">
        <f t="shared" si="13"/>
        <v>0</v>
      </c>
      <c r="L55" s="22"/>
      <c r="M55" s="18">
        <f t="shared" si="14"/>
        <v>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7"/>
      <c r="B56" s="18"/>
      <c r="C56" s="20"/>
      <c r="D56" s="20"/>
      <c r="E56" s="20"/>
      <c r="F56" s="20"/>
      <c r="G56" s="20">
        <f t="shared" si="10"/>
        <v>0</v>
      </c>
      <c r="H56" s="13" t="str">
        <f t="shared" si="11"/>
        <v>#DIV/0!</v>
      </c>
      <c r="I56" s="39"/>
      <c r="J56" s="10">
        <f t="shared" si="12"/>
        <v>0</v>
      </c>
      <c r="K56" s="38">
        <f t="shared" si="13"/>
        <v>0</v>
      </c>
      <c r="L56" s="22"/>
      <c r="M56" s="18">
        <f t="shared" si="14"/>
        <v>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7"/>
      <c r="B57" s="25"/>
      <c r="C57" s="20"/>
      <c r="D57" s="20"/>
      <c r="E57" s="20"/>
      <c r="F57" s="20"/>
      <c r="G57" s="20">
        <f t="shared" si="10"/>
        <v>0</v>
      </c>
      <c r="H57" s="13" t="str">
        <f t="shared" si="11"/>
        <v>#DIV/0!</v>
      </c>
      <c r="I57" s="39"/>
      <c r="J57" s="10">
        <f t="shared" si="12"/>
        <v>0</v>
      </c>
      <c r="K57" s="38">
        <f t="shared" si="13"/>
        <v>0</v>
      </c>
      <c r="L57" s="22"/>
      <c r="M57" s="18">
        <f t="shared" si="14"/>
        <v>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7"/>
      <c r="B58" s="25" t="s">
        <v>23</v>
      </c>
      <c r="C58" s="20"/>
      <c r="D58" s="20"/>
      <c r="E58" s="20"/>
      <c r="F58" s="20"/>
      <c r="G58" s="20">
        <f t="shared" si="10"/>
        <v>0</v>
      </c>
      <c r="H58" s="13" t="str">
        <f t="shared" si="11"/>
        <v>#DIV/0!</v>
      </c>
      <c r="I58" s="39"/>
      <c r="J58" s="10">
        <f t="shared" si="12"/>
        <v>80600</v>
      </c>
      <c r="K58" s="38">
        <f t="shared" si="13"/>
        <v>80600</v>
      </c>
      <c r="L58" s="22"/>
      <c r="M58" s="18">
        <f t="shared" si="14"/>
        <v>80600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26" t="s">
        <v>24</v>
      </c>
      <c r="B59" s="27"/>
      <c r="C59" s="28"/>
      <c r="D59" s="28"/>
      <c r="E59" s="28"/>
      <c r="F59" s="28"/>
      <c r="G59" s="28">
        <f t="shared" si="10"/>
        <v>0</v>
      </c>
      <c r="H59" s="40" t="str">
        <f t="shared" si="11"/>
        <v>#DIV/0!</v>
      </c>
      <c r="I59" s="39"/>
      <c r="J59" s="10">
        <f t="shared" si="12"/>
        <v>0</v>
      </c>
      <c r="K59" s="38">
        <f t="shared" si="13"/>
        <v>0</v>
      </c>
      <c r="L59" s="29"/>
      <c r="M59" s="25">
        <f t="shared" si="14"/>
        <v>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25"/>
      <c r="B60" s="25"/>
      <c r="C60" s="25"/>
      <c r="D60" s="25" t="s">
        <v>25</v>
      </c>
      <c r="E60" s="28">
        <f>SUM(E43:E59)</f>
        <v>0</v>
      </c>
      <c r="F60" s="25"/>
      <c r="G60" s="25"/>
      <c r="H60" s="25"/>
      <c r="I60" s="25"/>
      <c r="J60" s="25"/>
      <c r="K60" s="30" t="s">
        <v>26</v>
      </c>
      <c r="L60" s="30">
        <f>SUM(L43:L59)</f>
        <v>0</v>
      </c>
      <c r="M60" s="2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 t="s">
        <v>0</v>
      </c>
      <c r="B61" s="41"/>
      <c r="C61" s="3"/>
      <c r="D61" s="3"/>
      <c r="E61" s="3"/>
      <c r="F61" s="3"/>
      <c r="G61" s="3"/>
      <c r="H61" s="3"/>
      <c r="I61" s="3"/>
      <c r="J61" s="3"/>
      <c r="K61" s="3"/>
      <c r="L61" s="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6"/>
      <c r="B62" s="7" t="s">
        <v>1</v>
      </c>
      <c r="C62" s="7" t="s">
        <v>2</v>
      </c>
      <c r="D62" s="7" t="s">
        <v>3</v>
      </c>
      <c r="E62" s="7" t="s">
        <v>4</v>
      </c>
      <c r="F62" s="7" t="s">
        <v>5</v>
      </c>
      <c r="G62" s="7" t="s">
        <v>6</v>
      </c>
      <c r="H62" s="7" t="s">
        <v>7</v>
      </c>
      <c r="I62" s="7" t="s">
        <v>8</v>
      </c>
      <c r="J62" s="7" t="s">
        <v>9</v>
      </c>
      <c r="K62" s="7" t="s">
        <v>10</v>
      </c>
      <c r="L62" s="7" t="s">
        <v>11</v>
      </c>
      <c r="M62" s="8" t="s">
        <v>12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9"/>
      <c r="B63" s="10" t="s">
        <v>13</v>
      </c>
      <c r="C63" s="12"/>
      <c r="D63" s="12"/>
      <c r="E63" s="12"/>
      <c r="F63" s="12"/>
      <c r="G63" s="12">
        <f t="shared" ref="G63:G79" si="15">C63-F63</f>
        <v>0</v>
      </c>
      <c r="H63" s="13" t="str">
        <f t="shared" ref="H63:H79" si="16">D63/G63</f>
        <v>#DIV/0!</v>
      </c>
      <c r="I63" s="42"/>
      <c r="J63" s="10">
        <f t="shared" ref="J63:J79" si="17">M43</f>
        <v>367.5</v>
      </c>
      <c r="K63" s="36">
        <f t="shared" ref="K63:K79" si="18">(G63*I63)+J63</f>
        <v>367.5</v>
      </c>
      <c r="L63" s="32"/>
      <c r="M63" s="10">
        <f t="shared" ref="M63:M79" si="19">K63-L63</f>
        <v>367.5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7">
        <v>1.07</v>
      </c>
      <c r="B64" s="18" t="s">
        <v>14</v>
      </c>
      <c r="C64" s="20"/>
      <c r="D64" s="20"/>
      <c r="E64" s="20"/>
      <c r="F64" s="20"/>
      <c r="G64" s="20">
        <f t="shared" si="15"/>
        <v>0</v>
      </c>
      <c r="H64" s="13" t="str">
        <f t="shared" si="16"/>
        <v>#DIV/0!</v>
      </c>
      <c r="I64" s="39"/>
      <c r="J64" s="10">
        <f t="shared" si="17"/>
        <v>85684</v>
      </c>
      <c r="K64" s="38">
        <f t="shared" si="18"/>
        <v>85684</v>
      </c>
      <c r="L64" s="22"/>
      <c r="M64" s="18">
        <f t="shared" si="19"/>
        <v>85684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7">
        <v>0.96</v>
      </c>
      <c r="B65" s="18" t="s">
        <v>15</v>
      </c>
      <c r="C65" s="20"/>
      <c r="D65" s="20"/>
      <c r="E65" s="20"/>
      <c r="F65" s="20"/>
      <c r="G65" s="20">
        <f t="shared" si="15"/>
        <v>0</v>
      </c>
      <c r="H65" s="13" t="str">
        <f t="shared" si="16"/>
        <v>#DIV/0!</v>
      </c>
      <c r="I65" s="39"/>
      <c r="J65" s="10">
        <f t="shared" si="17"/>
        <v>72253</v>
      </c>
      <c r="K65" s="38">
        <f t="shared" si="18"/>
        <v>72253</v>
      </c>
      <c r="L65" s="22"/>
      <c r="M65" s="18">
        <f t="shared" si="19"/>
        <v>72253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7">
        <v>0.865</v>
      </c>
      <c r="B66" s="18" t="s">
        <v>16</v>
      </c>
      <c r="C66" s="20"/>
      <c r="D66" s="20"/>
      <c r="E66" s="20"/>
      <c r="F66" s="20"/>
      <c r="G66" s="20">
        <f t="shared" si="15"/>
        <v>0</v>
      </c>
      <c r="H66" s="13" t="str">
        <f t="shared" si="16"/>
        <v>#DIV/0!</v>
      </c>
      <c r="I66" s="39"/>
      <c r="J66" s="10">
        <f t="shared" si="17"/>
        <v>720</v>
      </c>
      <c r="K66" s="38">
        <f t="shared" si="18"/>
        <v>720</v>
      </c>
      <c r="L66" s="22"/>
      <c r="M66" s="18">
        <f t="shared" si="19"/>
        <v>720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7">
        <v>0.885</v>
      </c>
      <c r="B67" s="18" t="s">
        <v>17</v>
      </c>
      <c r="C67" s="20"/>
      <c r="D67" s="20"/>
      <c r="E67" s="20"/>
      <c r="F67" s="20"/>
      <c r="G67" s="20">
        <f t="shared" si="15"/>
        <v>0</v>
      </c>
      <c r="H67" s="13" t="str">
        <f t="shared" si="16"/>
        <v>#DIV/0!</v>
      </c>
      <c r="I67" s="39"/>
      <c r="J67" s="10">
        <f t="shared" si="17"/>
        <v>81</v>
      </c>
      <c r="K67" s="38">
        <f t="shared" si="18"/>
        <v>81</v>
      </c>
      <c r="L67" s="22"/>
      <c r="M67" s="18">
        <f t="shared" si="19"/>
        <v>81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7"/>
      <c r="B68" s="18" t="s">
        <v>18</v>
      </c>
      <c r="C68" s="20"/>
      <c r="D68" s="20"/>
      <c r="E68" s="20"/>
      <c r="F68" s="20"/>
      <c r="G68" s="20">
        <f t="shared" si="15"/>
        <v>0</v>
      </c>
      <c r="H68" s="13" t="str">
        <f t="shared" si="16"/>
        <v>#DIV/0!</v>
      </c>
      <c r="I68" s="39"/>
      <c r="J68" s="10">
        <f t="shared" si="17"/>
        <v>668</v>
      </c>
      <c r="K68" s="38">
        <f t="shared" si="18"/>
        <v>668</v>
      </c>
      <c r="L68" s="22"/>
      <c r="M68" s="18">
        <f t="shared" si="19"/>
        <v>668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7">
        <v>0.85</v>
      </c>
      <c r="B69" s="18" t="s">
        <v>19</v>
      </c>
      <c r="C69" s="20"/>
      <c r="D69" s="20"/>
      <c r="E69" s="20"/>
      <c r="F69" s="20"/>
      <c r="G69" s="20">
        <f t="shared" si="15"/>
        <v>0</v>
      </c>
      <c r="H69" s="13" t="str">
        <f t="shared" si="16"/>
        <v>#DIV/0!</v>
      </c>
      <c r="I69" s="39"/>
      <c r="J69" s="10">
        <f t="shared" si="17"/>
        <v>360</v>
      </c>
      <c r="K69" s="38">
        <f t="shared" si="18"/>
        <v>360</v>
      </c>
      <c r="L69" s="22"/>
      <c r="M69" s="18">
        <f t="shared" si="19"/>
        <v>360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7">
        <v>0.93</v>
      </c>
      <c r="B70" s="18" t="s">
        <v>20</v>
      </c>
      <c r="C70" s="20"/>
      <c r="D70" s="20"/>
      <c r="E70" s="20"/>
      <c r="F70" s="20"/>
      <c r="G70" s="20">
        <f t="shared" si="15"/>
        <v>0</v>
      </c>
      <c r="H70" s="13" t="str">
        <f t="shared" si="16"/>
        <v>#DIV/0!</v>
      </c>
      <c r="I70" s="39"/>
      <c r="J70" s="10">
        <f t="shared" si="17"/>
        <v>-275</v>
      </c>
      <c r="K70" s="38">
        <f t="shared" si="18"/>
        <v>-275</v>
      </c>
      <c r="L70" s="22"/>
      <c r="M70" s="18">
        <f t="shared" si="19"/>
        <v>-275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7">
        <v>0.96</v>
      </c>
      <c r="B71" s="18" t="s">
        <v>21</v>
      </c>
      <c r="C71" s="20"/>
      <c r="D71" s="20"/>
      <c r="E71" s="20"/>
      <c r="F71" s="20"/>
      <c r="G71" s="20">
        <f t="shared" si="15"/>
        <v>0</v>
      </c>
      <c r="H71" s="13" t="str">
        <f t="shared" si="16"/>
        <v>#DIV/0!</v>
      </c>
      <c r="I71" s="39"/>
      <c r="J71" s="10">
        <f t="shared" si="17"/>
        <v>7</v>
      </c>
      <c r="K71" s="38">
        <f t="shared" si="18"/>
        <v>7</v>
      </c>
      <c r="L71" s="22"/>
      <c r="M71" s="18">
        <f t="shared" si="19"/>
        <v>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7">
        <v>0.815</v>
      </c>
      <c r="B72" s="18" t="s">
        <v>22</v>
      </c>
      <c r="C72" s="20"/>
      <c r="D72" s="20"/>
      <c r="E72" s="20"/>
      <c r="F72" s="20"/>
      <c r="G72" s="20">
        <f t="shared" si="15"/>
        <v>0</v>
      </c>
      <c r="H72" s="13" t="str">
        <f t="shared" si="16"/>
        <v>#DIV/0!</v>
      </c>
      <c r="I72" s="39"/>
      <c r="J72" s="10">
        <f t="shared" si="17"/>
        <v>649</v>
      </c>
      <c r="K72" s="38">
        <f t="shared" si="18"/>
        <v>649</v>
      </c>
      <c r="L72" s="22"/>
      <c r="M72" s="18">
        <f t="shared" si="19"/>
        <v>649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7"/>
      <c r="B73" s="18"/>
      <c r="C73" s="20"/>
      <c r="D73" s="20"/>
      <c r="E73" s="20"/>
      <c r="F73" s="20"/>
      <c r="G73" s="20">
        <f t="shared" si="15"/>
        <v>0</v>
      </c>
      <c r="H73" s="13" t="str">
        <f t="shared" si="16"/>
        <v>#DIV/0!</v>
      </c>
      <c r="I73" s="39"/>
      <c r="J73" s="10">
        <f t="shared" si="17"/>
        <v>0</v>
      </c>
      <c r="K73" s="38">
        <f t="shared" si="18"/>
        <v>0</v>
      </c>
      <c r="L73" s="22"/>
      <c r="M73" s="18">
        <f t="shared" si="19"/>
        <v>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7"/>
      <c r="B74" s="18"/>
      <c r="C74" s="20"/>
      <c r="D74" s="20"/>
      <c r="E74" s="20"/>
      <c r="F74" s="20"/>
      <c r="G74" s="20">
        <f t="shared" si="15"/>
        <v>0</v>
      </c>
      <c r="H74" s="13" t="str">
        <f t="shared" si="16"/>
        <v>#DIV/0!</v>
      </c>
      <c r="I74" s="39"/>
      <c r="J74" s="10">
        <f t="shared" si="17"/>
        <v>0</v>
      </c>
      <c r="K74" s="38">
        <f t="shared" si="18"/>
        <v>0</v>
      </c>
      <c r="L74" s="22"/>
      <c r="M74" s="18">
        <f t="shared" si="19"/>
        <v>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7"/>
      <c r="B75" s="18"/>
      <c r="C75" s="20"/>
      <c r="D75" s="20"/>
      <c r="E75" s="20"/>
      <c r="F75" s="20"/>
      <c r="G75" s="20">
        <f t="shared" si="15"/>
        <v>0</v>
      </c>
      <c r="H75" s="13" t="str">
        <f t="shared" si="16"/>
        <v>#DIV/0!</v>
      </c>
      <c r="I75" s="39"/>
      <c r="J75" s="10">
        <f t="shared" si="17"/>
        <v>0</v>
      </c>
      <c r="K75" s="38">
        <f t="shared" si="18"/>
        <v>0</v>
      </c>
      <c r="L75" s="22"/>
      <c r="M75" s="18">
        <f t="shared" si="19"/>
        <v>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7"/>
      <c r="B76" s="18"/>
      <c r="C76" s="20"/>
      <c r="D76" s="20"/>
      <c r="E76" s="20"/>
      <c r="F76" s="20"/>
      <c r="G76" s="20">
        <f t="shared" si="15"/>
        <v>0</v>
      </c>
      <c r="H76" s="13" t="str">
        <f t="shared" si="16"/>
        <v>#DIV/0!</v>
      </c>
      <c r="I76" s="39"/>
      <c r="J76" s="10">
        <f t="shared" si="17"/>
        <v>0</v>
      </c>
      <c r="K76" s="38">
        <f t="shared" si="18"/>
        <v>0</v>
      </c>
      <c r="L76" s="22"/>
      <c r="M76" s="18">
        <f t="shared" si="19"/>
        <v>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7"/>
      <c r="B77" s="25"/>
      <c r="C77" s="20"/>
      <c r="D77" s="20"/>
      <c r="E77" s="20"/>
      <c r="F77" s="20"/>
      <c r="G77" s="20">
        <f t="shared" si="15"/>
        <v>0</v>
      </c>
      <c r="H77" s="13" t="str">
        <f t="shared" si="16"/>
        <v>#DIV/0!</v>
      </c>
      <c r="I77" s="39"/>
      <c r="J77" s="10">
        <f t="shared" si="17"/>
        <v>0</v>
      </c>
      <c r="K77" s="38">
        <f t="shared" si="18"/>
        <v>0</v>
      </c>
      <c r="L77" s="22"/>
      <c r="M77" s="18">
        <f t="shared" si="19"/>
        <v>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7"/>
      <c r="B78" s="25" t="s">
        <v>23</v>
      </c>
      <c r="C78" s="20"/>
      <c r="D78" s="20"/>
      <c r="E78" s="20"/>
      <c r="F78" s="20"/>
      <c r="G78" s="20">
        <f t="shared" si="15"/>
        <v>0</v>
      </c>
      <c r="H78" s="13" t="str">
        <f t="shared" si="16"/>
        <v>#DIV/0!</v>
      </c>
      <c r="I78" s="39"/>
      <c r="J78" s="10">
        <f t="shared" si="17"/>
        <v>80600</v>
      </c>
      <c r="K78" s="38">
        <f t="shared" si="18"/>
        <v>80600</v>
      </c>
      <c r="L78" s="22"/>
      <c r="M78" s="18">
        <f t="shared" si="19"/>
        <v>80600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26" t="s">
        <v>24</v>
      </c>
      <c r="B79" s="27"/>
      <c r="C79" s="28"/>
      <c r="D79" s="28"/>
      <c r="E79" s="28"/>
      <c r="F79" s="28"/>
      <c r="G79" s="28">
        <f t="shared" si="15"/>
        <v>0</v>
      </c>
      <c r="H79" s="40" t="str">
        <f t="shared" si="16"/>
        <v>#DIV/0!</v>
      </c>
      <c r="I79" s="39"/>
      <c r="J79" s="10">
        <f t="shared" si="17"/>
        <v>0</v>
      </c>
      <c r="K79" s="38">
        <f t="shared" si="18"/>
        <v>0</v>
      </c>
      <c r="L79" s="29"/>
      <c r="M79" s="25">
        <f t="shared" si="19"/>
        <v>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25"/>
      <c r="B80" s="25"/>
      <c r="C80" s="25"/>
      <c r="D80" s="25" t="s">
        <v>25</v>
      </c>
      <c r="E80" s="28">
        <f>SUM(E63:E79)</f>
        <v>0</v>
      </c>
      <c r="F80" s="25"/>
      <c r="G80" s="25"/>
      <c r="H80" s="25"/>
      <c r="I80" s="25"/>
      <c r="J80" s="25"/>
      <c r="K80" s="30" t="s">
        <v>26</v>
      </c>
      <c r="L80" s="30">
        <f>SUM(L63:L79)</f>
        <v>0</v>
      </c>
      <c r="M80" s="2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 t="s">
        <v>0</v>
      </c>
      <c r="B81" s="41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6"/>
      <c r="B82" s="7" t="s">
        <v>1</v>
      </c>
      <c r="C82" s="7" t="s">
        <v>2</v>
      </c>
      <c r="D82" s="7" t="s">
        <v>3</v>
      </c>
      <c r="E82" s="7" t="s">
        <v>4</v>
      </c>
      <c r="F82" s="7" t="s">
        <v>5</v>
      </c>
      <c r="G82" s="7" t="s">
        <v>6</v>
      </c>
      <c r="H82" s="7" t="s">
        <v>7</v>
      </c>
      <c r="I82" s="7" t="s">
        <v>8</v>
      </c>
      <c r="J82" s="7" t="s">
        <v>9</v>
      </c>
      <c r="K82" s="7" t="s">
        <v>10</v>
      </c>
      <c r="L82" s="7" t="s">
        <v>11</v>
      </c>
      <c r="M82" s="8" t="s">
        <v>12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9"/>
      <c r="B83" s="10" t="s">
        <v>13</v>
      </c>
      <c r="C83" s="12"/>
      <c r="D83" s="12"/>
      <c r="E83" s="12"/>
      <c r="F83" s="12"/>
      <c r="G83" s="12">
        <f t="shared" ref="G83:G99" si="20">C83-F83</f>
        <v>0</v>
      </c>
      <c r="H83" s="13" t="str">
        <f t="shared" ref="H83:H99" si="21">D83/G83</f>
        <v>#DIV/0!</v>
      </c>
      <c r="I83" s="42"/>
      <c r="J83" s="10">
        <f t="shared" ref="J83:J99" si="22">M63</f>
        <v>367.5</v>
      </c>
      <c r="K83" s="36">
        <f t="shared" ref="K83:K99" si="23">(G83*I83)+J83</f>
        <v>367.5</v>
      </c>
      <c r="L83" s="32"/>
      <c r="M83" s="10">
        <f t="shared" ref="M83:M99" si="24">K83-L83</f>
        <v>367.5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7">
        <v>1.07</v>
      </c>
      <c r="B84" s="18" t="s">
        <v>14</v>
      </c>
      <c r="C84" s="20"/>
      <c r="D84" s="20"/>
      <c r="E84" s="20"/>
      <c r="F84" s="20"/>
      <c r="G84" s="20">
        <f t="shared" si="20"/>
        <v>0</v>
      </c>
      <c r="H84" s="13" t="str">
        <f t="shared" si="21"/>
        <v>#DIV/0!</v>
      </c>
      <c r="I84" s="39"/>
      <c r="J84" s="10">
        <f t="shared" si="22"/>
        <v>85684</v>
      </c>
      <c r="K84" s="38">
        <f t="shared" si="23"/>
        <v>85684</v>
      </c>
      <c r="L84" s="22"/>
      <c r="M84" s="18">
        <f t="shared" si="24"/>
        <v>85684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7">
        <v>0.96</v>
      </c>
      <c r="B85" s="18" t="s">
        <v>15</v>
      </c>
      <c r="C85" s="20"/>
      <c r="D85" s="20"/>
      <c r="E85" s="20"/>
      <c r="F85" s="20"/>
      <c r="G85" s="20">
        <f t="shared" si="20"/>
        <v>0</v>
      </c>
      <c r="H85" s="13" t="str">
        <f t="shared" si="21"/>
        <v>#DIV/0!</v>
      </c>
      <c r="I85" s="39"/>
      <c r="J85" s="10">
        <f t="shared" si="22"/>
        <v>72253</v>
      </c>
      <c r="K85" s="38">
        <f t="shared" si="23"/>
        <v>72253</v>
      </c>
      <c r="L85" s="22"/>
      <c r="M85" s="18">
        <f t="shared" si="24"/>
        <v>72253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7">
        <v>0.865</v>
      </c>
      <c r="B86" s="18" t="s">
        <v>16</v>
      </c>
      <c r="C86" s="20"/>
      <c r="D86" s="20"/>
      <c r="E86" s="20"/>
      <c r="F86" s="20"/>
      <c r="G86" s="20">
        <f t="shared" si="20"/>
        <v>0</v>
      </c>
      <c r="H86" s="13" t="str">
        <f t="shared" si="21"/>
        <v>#DIV/0!</v>
      </c>
      <c r="I86" s="39"/>
      <c r="J86" s="10">
        <f t="shared" si="22"/>
        <v>720</v>
      </c>
      <c r="K86" s="38">
        <f t="shared" si="23"/>
        <v>720</v>
      </c>
      <c r="L86" s="22"/>
      <c r="M86" s="18">
        <f t="shared" si="24"/>
        <v>720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7">
        <v>0.885</v>
      </c>
      <c r="B87" s="18" t="s">
        <v>17</v>
      </c>
      <c r="C87" s="20"/>
      <c r="D87" s="20"/>
      <c r="E87" s="20"/>
      <c r="F87" s="20"/>
      <c r="G87" s="20">
        <f t="shared" si="20"/>
        <v>0</v>
      </c>
      <c r="H87" s="13" t="str">
        <f t="shared" si="21"/>
        <v>#DIV/0!</v>
      </c>
      <c r="I87" s="39"/>
      <c r="J87" s="10">
        <f t="shared" si="22"/>
        <v>81</v>
      </c>
      <c r="K87" s="38">
        <f t="shared" si="23"/>
        <v>81</v>
      </c>
      <c r="L87" s="22"/>
      <c r="M87" s="18">
        <f t="shared" si="24"/>
        <v>81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7"/>
      <c r="B88" s="18" t="s">
        <v>18</v>
      </c>
      <c r="C88" s="20"/>
      <c r="D88" s="20"/>
      <c r="E88" s="20"/>
      <c r="F88" s="20"/>
      <c r="G88" s="20">
        <f t="shared" si="20"/>
        <v>0</v>
      </c>
      <c r="H88" s="13" t="str">
        <f t="shared" si="21"/>
        <v>#DIV/0!</v>
      </c>
      <c r="I88" s="39"/>
      <c r="J88" s="10">
        <f t="shared" si="22"/>
        <v>668</v>
      </c>
      <c r="K88" s="38">
        <f t="shared" si="23"/>
        <v>668</v>
      </c>
      <c r="L88" s="22"/>
      <c r="M88" s="18">
        <f t="shared" si="24"/>
        <v>668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7">
        <v>0.85</v>
      </c>
      <c r="B89" s="18" t="s">
        <v>19</v>
      </c>
      <c r="C89" s="20"/>
      <c r="D89" s="20"/>
      <c r="E89" s="20"/>
      <c r="F89" s="20"/>
      <c r="G89" s="20">
        <f t="shared" si="20"/>
        <v>0</v>
      </c>
      <c r="H89" s="13" t="str">
        <f t="shared" si="21"/>
        <v>#DIV/0!</v>
      </c>
      <c r="I89" s="39"/>
      <c r="J89" s="10">
        <f t="shared" si="22"/>
        <v>360</v>
      </c>
      <c r="K89" s="38">
        <f t="shared" si="23"/>
        <v>360</v>
      </c>
      <c r="L89" s="22"/>
      <c r="M89" s="18">
        <f t="shared" si="24"/>
        <v>360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7">
        <v>0.93</v>
      </c>
      <c r="B90" s="18" t="s">
        <v>20</v>
      </c>
      <c r="C90" s="20"/>
      <c r="D90" s="20"/>
      <c r="E90" s="20"/>
      <c r="F90" s="20"/>
      <c r="G90" s="20">
        <f t="shared" si="20"/>
        <v>0</v>
      </c>
      <c r="H90" s="13" t="str">
        <f t="shared" si="21"/>
        <v>#DIV/0!</v>
      </c>
      <c r="I90" s="39"/>
      <c r="J90" s="10">
        <f t="shared" si="22"/>
        <v>-275</v>
      </c>
      <c r="K90" s="38">
        <f t="shared" si="23"/>
        <v>-275</v>
      </c>
      <c r="L90" s="22"/>
      <c r="M90" s="18">
        <f t="shared" si="24"/>
        <v>-275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7">
        <v>0.96</v>
      </c>
      <c r="B91" s="18" t="s">
        <v>21</v>
      </c>
      <c r="C91" s="20"/>
      <c r="D91" s="20"/>
      <c r="E91" s="20"/>
      <c r="F91" s="20"/>
      <c r="G91" s="20">
        <f t="shared" si="20"/>
        <v>0</v>
      </c>
      <c r="H91" s="13" t="str">
        <f t="shared" si="21"/>
        <v>#DIV/0!</v>
      </c>
      <c r="I91" s="39"/>
      <c r="J91" s="10">
        <f t="shared" si="22"/>
        <v>7</v>
      </c>
      <c r="K91" s="38">
        <f t="shared" si="23"/>
        <v>7</v>
      </c>
      <c r="L91" s="22"/>
      <c r="M91" s="18">
        <f t="shared" si="24"/>
        <v>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7">
        <v>0.815</v>
      </c>
      <c r="B92" s="18" t="s">
        <v>22</v>
      </c>
      <c r="C92" s="20"/>
      <c r="D92" s="20"/>
      <c r="E92" s="20"/>
      <c r="F92" s="20"/>
      <c r="G92" s="20">
        <f t="shared" si="20"/>
        <v>0</v>
      </c>
      <c r="H92" s="13" t="str">
        <f t="shared" si="21"/>
        <v>#DIV/0!</v>
      </c>
      <c r="I92" s="39"/>
      <c r="J92" s="10">
        <f t="shared" si="22"/>
        <v>649</v>
      </c>
      <c r="K92" s="38">
        <f t="shared" si="23"/>
        <v>649</v>
      </c>
      <c r="L92" s="22"/>
      <c r="M92" s="18">
        <f t="shared" si="24"/>
        <v>649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7"/>
      <c r="B93" s="18"/>
      <c r="C93" s="20"/>
      <c r="D93" s="20"/>
      <c r="E93" s="20"/>
      <c r="F93" s="20"/>
      <c r="G93" s="20">
        <f t="shared" si="20"/>
        <v>0</v>
      </c>
      <c r="H93" s="13" t="str">
        <f t="shared" si="21"/>
        <v>#DIV/0!</v>
      </c>
      <c r="I93" s="39"/>
      <c r="J93" s="10">
        <f t="shared" si="22"/>
        <v>0</v>
      </c>
      <c r="K93" s="38">
        <f t="shared" si="23"/>
        <v>0</v>
      </c>
      <c r="L93" s="22"/>
      <c r="M93" s="18">
        <f t="shared" si="24"/>
        <v>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7"/>
      <c r="B94" s="18"/>
      <c r="C94" s="20"/>
      <c r="D94" s="20"/>
      <c r="E94" s="20"/>
      <c r="F94" s="20"/>
      <c r="G94" s="20">
        <f t="shared" si="20"/>
        <v>0</v>
      </c>
      <c r="H94" s="13" t="str">
        <f t="shared" si="21"/>
        <v>#DIV/0!</v>
      </c>
      <c r="I94" s="39"/>
      <c r="J94" s="10">
        <f t="shared" si="22"/>
        <v>0</v>
      </c>
      <c r="K94" s="38">
        <f t="shared" si="23"/>
        <v>0</v>
      </c>
      <c r="L94" s="22"/>
      <c r="M94" s="18">
        <f t="shared" si="24"/>
        <v>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7"/>
      <c r="B95" s="18"/>
      <c r="C95" s="20"/>
      <c r="D95" s="20"/>
      <c r="E95" s="20"/>
      <c r="F95" s="20"/>
      <c r="G95" s="20">
        <f t="shared" si="20"/>
        <v>0</v>
      </c>
      <c r="H95" s="13" t="str">
        <f t="shared" si="21"/>
        <v>#DIV/0!</v>
      </c>
      <c r="I95" s="39"/>
      <c r="J95" s="10">
        <f t="shared" si="22"/>
        <v>0</v>
      </c>
      <c r="K95" s="38">
        <f t="shared" si="23"/>
        <v>0</v>
      </c>
      <c r="L95" s="22"/>
      <c r="M95" s="18">
        <f t="shared" si="24"/>
        <v>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7"/>
      <c r="B96" s="18"/>
      <c r="C96" s="20"/>
      <c r="D96" s="20"/>
      <c r="E96" s="20"/>
      <c r="F96" s="20"/>
      <c r="G96" s="20">
        <f t="shared" si="20"/>
        <v>0</v>
      </c>
      <c r="H96" s="13" t="str">
        <f t="shared" si="21"/>
        <v>#DIV/0!</v>
      </c>
      <c r="I96" s="39"/>
      <c r="J96" s="10">
        <f t="shared" si="22"/>
        <v>0</v>
      </c>
      <c r="K96" s="38">
        <f t="shared" si="23"/>
        <v>0</v>
      </c>
      <c r="L96" s="22"/>
      <c r="M96" s="18">
        <f t="shared" si="24"/>
        <v>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7"/>
      <c r="B97" s="25"/>
      <c r="C97" s="20"/>
      <c r="D97" s="20"/>
      <c r="E97" s="20"/>
      <c r="F97" s="20"/>
      <c r="G97" s="20">
        <f t="shared" si="20"/>
        <v>0</v>
      </c>
      <c r="H97" s="13" t="str">
        <f t="shared" si="21"/>
        <v>#DIV/0!</v>
      </c>
      <c r="I97" s="39"/>
      <c r="J97" s="10">
        <f t="shared" si="22"/>
        <v>0</v>
      </c>
      <c r="K97" s="38">
        <f t="shared" si="23"/>
        <v>0</v>
      </c>
      <c r="L97" s="22"/>
      <c r="M97" s="18">
        <f t="shared" si="24"/>
        <v>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7"/>
      <c r="B98" s="25" t="s">
        <v>23</v>
      </c>
      <c r="C98" s="20"/>
      <c r="D98" s="20"/>
      <c r="E98" s="20"/>
      <c r="F98" s="20"/>
      <c r="G98" s="20">
        <f t="shared" si="20"/>
        <v>0</v>
      </c>
      <c r="H98" s="13" t="str">
        <f t="shared" si="21"/>
        <v>#DIV/0!</v>
      </c>
      <c r="I98" s="39"/>
      <c r="J98" s="10">
        <f t="shared" si="22"/>
        <v>80600</v>
      </c>
      <c r="K98" s="38">
        <f t="shared" si="23"/>
        <v>80600</v>
      </c>
      <c r="L98" s="22"/>
      <c r="M98" s="18">
        <f t="shared" si="24"/>
        <v>80600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26" t="s">
        <v>24</v>
      </c>
      <c r="B99" s="27"/>
      <c r="C99" s="28"/>
      <c r="D99" s="28"/>
      <c r="E99" s="28"/>
      <c r="F99" s="28"/>
      <c r="G99" s="28">
        <f t="shared" si="20"/>
        <v>0</v>
      </c>
      <c r="H99" s="40" t="str">
        <f t="shared" si="21"/>
        <v>#DIV/0!</v>
      </c>
      <c r="I99" s="39"/>
      <c r="J99" s="10">
        <f t="shared" si="22"/>
        <v>0</v>
      </c>
      <c r="K99" s="38">
        <f t="shared" si="23"/>
        <v>0</v>
      </c>
      <c r="L99" s="29"/>
      <c r="M99" s="25">
        <f t="shared" si="24"/>
        <v>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25"/>
      <c r="B100" s="25"/>
      <c r="C100" s="25"/>
      <c r="D100" s="25" t="s">
        <v>25</v>
      </c>
      <c r="E100" s="28">
        <f>SUM(E83:E99)</f>
        <v>0</v>
      </c>
      <c r="F100" s="25"/>
      <c r="G100" s="25"/>
      <c r="H100" s="25"/>
      <c r="I100" s="25"/>
      <c r="J100" s="25"/>
      <c r="K100" s="30" t="s">
        <v>26</v>
      </c>
      <c r="L100" s="30">
        <f>SUM(L83:L99)</f>
        <v>0</v>
      </c>
      <c r="M100" s="2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 t="s">
        <v>0</v>
      </c>
      <c r="B101" s="4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6"/>
      <c r="B102" s="7" t="s">
        <v>1</v>
      </c>
      <c r="C102" s="7" t="s">
        <v>2</v>
      </c>
      <c r="D102" s="7" t="s">
        <v>3</v>
      </c>
      <c r="E102" s="7" t="s">
        <v>4</v>
      </c>
      <c r="F102" s="7" t="s">
        <v>5</v>
      </c>
      <c r="G102" s="7" t="s">
        <v>6</v>
      </c>
      <c r="H102" s="7" t="s">
        <v>7</v>
      </c>
      <c r="I102" s="7" t="s">
        <v>8</v>
      </c>
      <c r="J102" s="7" t="s">
        <v>9</v>
      </c>
      <c r="K102" s="7" t="s">
        <v>10</v>
      </c>
      <c r="L102" s="7" t="s">
        <v>11</v>
      </c>
      <c r="M102" s="8" t="s">
        <v>12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9"/>
      <c r="B103" s="10" t="s">
        <v>13</v>
      </c>
      <c r="C103" s="12"/>
      <c r="D103" s="12"/>
      <c r="E103" s="12"/>
      <c r="F103" s="12"/>
      <c r="G103" s="12">
        <f t="shared" ref="G103:G119" si="25">C103-F103</f>
        <v>0</v>
      </c>
      <c r="H103" s="13" t="str">
        <f t="shared" ref="H103:H119" si="26">D103/G103</f>
        <v>#DIV/0!</v>
      </c>
      <c r="I103" s="42"/>
      <c r="J103" s="10">
        <f t="shared" ref="J103:J119" si="27">M83</f>
        <v>367.5</v>
      </c>
      <c r="K103" s="36">
        <f t="shared" ref="K103:K119" si="28">(G103*I103)+J103</f>
        <v>367.5</v>
      </c>
      <c r="L103" s="32"/>
      <c r="M103" s="10">
        <f t="shared" ref="M103:M119" si="29">K103-L103</f>
        <v>367.5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7">
        <v>1.07</v>
      </c>
      <c r="B104" s="18" t="s">
        <v>14</v>
      </c>
      <c r="C104" s="20"/>
      <c r="D104" s="20"/>
      <c r="E104" s="20"/>
      <c r="F104" s="20"/>
      <c r="G104" s="20">
        <f t="shared" si="25"/>
        <v>0</v>
      </c>
      <c r="H104" s="13" t="str">
        <f t="shared" si="26"/>
        <v>#DIV/0!</v>
      </c>
      <c r="I104" s="39"/>
      <c r="J104" s="10">
        <f t="shared" si="27"/>
        <v>85684</v>
      </c>
      <c r="K104" s="38">
        <f t="shared" si="28"/>
        <v>85684</v>
      </c>
      <c r="L104" s="22"/>
      <c r="M104" s="18">
        <f t="shared" si="29"/>
        <v>85684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7">
        <v>0.96</v>
      </c>
      <c r="B105" s="18" t="s">
        <v>15</v>
      </c>
      <c r="C105" s="20"/>
      <c r="D105" s="20"/>
      <c r="E105" s="20"/>
      <c r="F105" s="20"/>
      <c r="G105" s="20">
        <f t="shared" si="25"/>
        <v>0</v>
      </c>
      <c r="H105" s="13" t="str">
        <f t="shared" si="26"/>
        <v>#DIV/0!</v>
      </c>
      <c r="I105" s="39"/>
      <c r="J105" s="10">
        <f t="shared" si="27"/>
        <v>72253</v>
      </c>
      <c r="K105" s="38">
        <f t="shared" si="28"/>
        <v>72253</v>
      </c>
      <c r="L105" s="22"/>
      <c r="M105" s="18">
        <f t="shared" si="29"/>
        <v>72253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7">
        <v>0.865</v>
      </c>
      <c r="B106" s="18" t="s">
        <v>16</v>
      </c>
      <c r="C106" s="20"/>
      <c r="D106" s="20"/>
      <c r="E106" s="20"/>
      <c r="F106" s="20"/>
      <c r="G106" s="20">
        <f t="shared" si="25"/>
        <v>0</v>
      </c>
      <c r="H106" s="13" t="str">
        <f t="shared" si="26"/>
        <v>#DIV/0!</v>
      </c>
      <c r="I106" s="39"/>
      <c r="J106" s="10">
        <f t="shared" si="27"/>
        <v>720</v>
      </c>
      <c r="K106" s="38">
        <f t="shared" si="28"/>
        <v>720</v>
      </c>
      <c r="L106" s="22"/>
      <c r="M106" s="18">
        <f t="shared" si="29"/>
        <v>720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7">
        <v>0.885</v>
      </c>
      <c r="B107" s="18" t="s">
        <v>17</v>
      </c>
      <c r="C107" s="20"/>
      <c r="D107" s="20"/>
      <c r="E107" s="20"/>
      <c r="F107" s="20"/>
      <c r="G107" s="20">
        <f t="shared" si="25"/>
        <v>0</v>
      </c>
      <c r="H107" s="13" t="str">
        <f t="shared" si="26"/>
        <v>#DIV/0!</v>
      </c>
      <c r="I107" s="39"/>
      <c r="J107" s="10">
        <f t="shared" si="27"/>
        <v>81</v>
      </c>
      <c r="K107" s="38">
        <f t="shared" si="28"/>
        <v>81</v>
      </c>
      <c r="L107" s="22"/>
      <c r="M107" s="18">
        <f t="shared" si="29"/>
        <v>81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7"/>
      <c r="B108" s="18" t="s">
        <v>18</v>
      </c>
      <c r="C108" s="20"/>
      <c r="D108" s="20"/>
      <c r="E108" s="20"/>
      <c r="F108" s="20"/>
      <c r="G108" s="20">
        <f t="shared" si="25"/>
        <v>0</v>
      </c>
      <c r="H108" s="13" t="str">
        <f t="shared" si="26"/>
        <v>#DIV/0!</v>
      </c>
      <c r="I108" s="39"/>
      <c r="J108" s="10">
        <f t="shared" si="27"/>
        <v>668</v>
      </c>
      <c r="K108" s="38">
        <f t="shared" si="28"/>
        <v>668</v>
      </c>
      <c r="L108" s="22"/>
      <c r="M108" s="18">
        <f t="shared" si="29"/>
        <v>668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7">
        <v>0.85</v>
      </c>
      <c r="B109" s="18" t="s">
        <v>19</v>
      </c>
      <c r="C109" s="20"/>
      <c r="D109" s="20"/>
      <c r="E109" s="20"/>
      <c r="F109" s="20"/>
      <c r="G109" s="20">
        <f t="shared" si="25"/>
        <v>0</v>
      </c>
      <c r="H109" s="13" t="str">
        <f t="shared" si="26"/>
        <v>#DIV/0!</v>
      </c>
      <c r="I109" s="39"/>
      <c r="J109" s="10">
        <f t="shared" si="27"/>
        <v>360</v>
      </c>
      <c r="K109" s="38">
        <f t="shared" si="28"/>
        <v>360</v>
      </c>
      <c r="L109" s="22"/>
      <c r="M109" s="18">
        <f t="shared" si="29"/>
        <v>360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7">
        <v>0.93</v>
      </c>
      <c r="B110" s="18" t="s">
        <v>20</v>
      </c>
      <c r="C110" s="20"/>
      <c r="D110" s="20"/>
      <c r="E110" s="20"/>
      <c r="F110" s="20"/>
      <c r="G110" s="20">
        <f t="shared" si="25"/>
        <v>0</v>
      </c>
      <c r="H110" s="13" t="str">
        <f t="shared" si="26"/>
        <v>#DIV/0!</v>
      </c>
      <c r="I110" s="39"/>
      <c r="J110" s="10">
        <f t="shared" si="27"/>
        <v>-275</v>
      </c>
      <c r="K110" s="38">
        <f t="shared" si="28"/>
        <v>-275</v>
      </c>
      <c r="L110" s="22"/>
      <c r="M110" s="18">
        <f t="shared" si="29"/>
        <v>-275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7">
        <v>0.96</v>
      </c>
      <c r="B111" s="18" t="s">
        <v>21</v>
      </c>
      <c r="C111" s="20"/>
      <c r="D111" s="20"/>
      <c r="E111" s="20"/>
      <c r="F111" s="20"/>
      <c r="G111" s="20">
        <f t="shared" si="25"/>
        <v>0</v>
      </c>
      <c r="H111" s="13" t="str">
        <f t="shared" si="26"/>
        <v>#DIV/0!</v>
      </c>
      <c r="I111" s="39"/>
      <c r="J111" s="10">
        <f t="shared" si="27"/>
        <v>7</v>
      </c>
      <c r="K111" s="38">
        <f t="shared" si="28"/>
        <v>7</v>
      </c>
      <c r="L111" s="22"/>
      <c r="M111" s="18">
        <f t="shared" si="29"/>
        <v>7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7">
        <v>0.815</v>
      </c>
      <c r="B112" s="18" t="s">
        <v>22</v>
      </c>
      <c r="C112" s="20"/>
      <c r="D112" s="20"/>
      <c r="E112" s="20"/>
      <c r="F112" s="20"/>
      <c r="G112" s="20">
        <f t="shared" si="25"/>
        <v>0</v>
      </c>
      <c r="H112" s="13" t="str">
        <f t="shared" si="26"/>
        <v>#DIV/0!</v>
      </c>
      <c r="I112" s="39"/>
      <c r="J112" s="10">
        <f t="shared" si="27"/>
        <v>649</v>
      </c>
      <c r="K112" s="38">
        <f t="shared" si="28"/>
        <v>649</v>
      </c>
      <c r="L112" s="22"/>
      <c r="M112" s="18">
        <f t="shared" si="29"/>
        <v>649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7"/>
      <c r="B113" s="18"/>
      <c r="C113" s="20"/>
      <c r="D113" s="20"/>
      <c r="E113" s="20"/>
      <c r="F113" s="20"/>
      <c r="G113" s="20">
        <f t="shared" si="25"/>
        <v>0</v>
      </c>
      <c r="H113" s="13" t="str">
        <f t="shared" si="26"/>
        <v>#DIV/0!</v>
      </c>
      <c r="I113" s="39"/>
      <c r="J113" s="10">
        <f t="shared" si="27"/>
        <v>0</v>
      </c>
      <c r="K113" s="38">
        <f t="shared" si="28"/>
        <v>0</v>
      </c>
      <c r="L113" s="22"/>
      <c r="M113" s="18">
        <f t="shared" si="29"/>
        <v>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7"/>
      <c r="B114" s="18"/>
      <c r="C114" s="20"/>
      <c r="D114" s="20"/>
      <c r="E114" s="20"/>
      <c r="F114" s="20"/>
      <c r="G114" s="20">
        <f t="shared" si="25"/>
        <v>0</v>
      </c>
      <c r="H114" s="13" t="str">
        <f t="shared" si="26"/>
        <v>#DIV/0!</v>
      </c>
      <c r="I114" s="39"/>
      <c r="J114" s="10">
        <f t="shared" si="27"/>
        <v>0</v>
      </c>
      <c r="K114" s="38">
        <f t="shared" si="28"/>
        <v>0</v>
      </c>
      <c r="L114" s="22"/>
      <c r="M114" s="18">
        <f t="shared" si="29"/>
        <v>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7"/>
      <c r="B115" s="18"/>
      <c r="C115" s="20"/>
      <c r="D115" s="20"/>
      <c r="E115" s="20"/>
      <c r="F115" s="20"/>
      <c r="G115" s="20">
        <f t="shared" si="25"/>
        <v>0</v>
      </c>
      <c r="H115" s="13" t="str">
        <f t="shared" si="26"/>
        <v>#DIV/0!</v>
      </c>
      <c r="I115" s="39"/>
      <c r="J115" s="10">
        <f t="shared" si="27"/>
        <v>0</v>
      </c>
      <c r="K115" s="38">
        <f t="shared" si="28"/>
        <v>0</v>
      </c>
      <c r="L115" s="22"/>
      <c r="M115" s="18">
        <f t="shared" si="29"/>
        <v>0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7"/>
      <c r="B116" s="18"/>
      <c r="C116" s="20"/>
      <c r="D116" s="20"/>
      <c r="E116" s="20"/>
      <c r="F116" s="20"/>
      <c r="G116" s="20">
        <f t="shared" si="25"/>
        <v>0</v>
      </c>
      <c r="H116" s="13" t="str">
        <f t="shared" si="26"/>
        <v>#DIV/0!</v>
      </c>
      <c r="I116" s="39"/>
      <c r="J116" s="10">
        <f t="shared" si="27"/>
        <v>0</v>
      </c>
      <c r="K116" s="38">
        <f t="shared" si="28"/>
        <v>0</v>
      </c>
      <c r="L116" s="22"/>
      <c r="M116" s="18">
        <f t="shared" si="29"/>
        <v>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7"/>
      <c r="B117" s="25"/>
      <c r="C117" s="20"/>
      <c r="D117" s="20"/>
      <c r="E117" s="20"/>
      <c r="F117" s="20"/>
      <c r="G117" s="20">
        <f t="shared" si="25"/>
        <v>0</v>
      </c>
      <c r="H117" s="13" t="str">
        <f t="shared" si="26"/>
        <v>#DIV/0!</v>
      </c>
      <c r="I117" s="39"/>
      <c r="J117" s="10">
        <f t="shared" si="27"/>
        <v>0</v>
      </c>
      <c r="K117" s="38">
        <f t="shared" si="28"/>
        <v>0</v>
      </c>
      <c r="L117" s="22"/>
      <c r="M117" s="18">
        <f t="shared" si="29"/>
        <v>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7"/>
      <c r="B118" s="25" t="s">
        <v>23</v>
      </c>
      <c r="C118" s="20"/>
      <c r="D118" s="20"/>
      <c r="E118" s="20"/>
      <c r="F118" s="20"/>
      <c r="G118" s="20">
        <f t="shared" si="25"/>
        <v>0</v>
      </c>
      <c r="H118" s="13" t="str">
        <f t="shared" si="26"/>
        <v>#DIV/0!</v>
      </c>
      <c r="I118" s="39"/>
      <c r="J118" s="10">
        <f t="shared" si="27"/>
        <v>80600</v>
      </c>
      <c r="K118" s="38">
        <f t="shared" si="28"/>
        <v>80600</v>
      </c>
      <c r="L118" s="22"/>
      <c r="M118" s="18">
        <f t="shared" si="29"/>
        <v>80600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26" t="s">
        <v>24</v>
      </c>
      <c r="B119" s="27"/>
      <c r="C119" s="28"/>
      <c r="D119" s="28"/>
      <c r="E119" s="28"/>
      <c r="F119" s="28"/>
      <c r="G119" s="28">
        <f t="shared" si="25"/>
        <v>0</v>
      </c>
      <c r="H119" s="40" t="str">
        <f t="shared" si="26"/>
        <v>#DIV/0!</v>
      </c>
      <c r="I119" s="39"/>
      <c r="J119" s="10">
        <f t="shared" si="27"/>
        <v>0</v>
      </c>
      <c r="K119" s="38">
        <f t="shared" si="28"/>
        <v>0</v>
      </c>
      <c r="L119" s="29"/>
      <c r="M119" s="25">
        <f t="shared" si="29"/>
        <v>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25"/>
      <c r="B120" s="25"/>
      <c r="C120" s="25"/>
      <c r="D120" s="25" t="s">
        <v>25</v>
      </c>
      <c r="E120" s="28">
        <f>SUM(E103:E119)</f>
        <v>0</v>
      </c>
      <c r="F120" s="25"/>
      <c r="G120" s="25"/>
      <c r="H120" s="25"/>
      <c r="I120" s="25"/>
      <c r="J120" s="25"/>
      <c r="K120" s="30" t="s">
        <v>26</v>
      </c>
      <c r="L120" s="30">
        <f>SUM(L103:L119)</f>
        <v>0</v>
      </c>
      <c r="M120" s="2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" t="s">
        <v>0</v>
      </c>
      <c r="B121" s="4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6"/>
      <c r="B122" s="7" t="s">
        <v>1</v>
      </c>
      <c r="C122" s="7" t="s">
        <v>2</v>
      </c>
      <c r="D122" s="7" t="s">
        <v>3</v>
      </c>
      <c r="E122" s="7" t="s">
        <v>4</v>
      </c>
      <c r="F122" s="7" t="s">
        <v>5</v>
      </c>
      <c r="G122" s="7" t="s">
        <v>6</v>
      </c>
      <c r="H122" s="7" t="s">
        <v>7</v>
      </c>
      <c r="I122" s="7" t="s">
        <v>8</v>
      </c>
      <c r="J122" s="7" t="s">
        <v>9</v>
      </c>
      <c r="K122" s="7" t="s">
        <v>10</v>
      </c>
      <c r="L122" s="7" t="s">
        <v>11</v>
      </c>
      <c r="M122" s="8" t="s">
        <v>12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9"/>
      <c r="B123" s="10" t="s">
        <v>13</v>
      </c>
      <c r="C123" s="12"/>
      <c r="D123" s="12"/>
      <c r="E123" s="12"/>
      <c r="F123" s="12"/>
      <c r="G123" s="12">
        <f t="shared" ref="G123:G139" si="30">C123-F123</f>
        <v>0</v>
      </c>
      <c r="H123" s="13" t="str">
        <f t="shared" ref="H123:H139" si="31">D123/G123</f>
        <v>#DIV/0!</v>
      </c>
      <c r="I123" s="42"/>
      <c r="J123" s="10">
        <f t="shared" ref="J123:J139" si="32">M103</f>
        <v>367.5</v>
      </c>
      <c r="K123" s="36">
        <f t="shared" ref="K123:K139" si="33">(G123*I123)+J123</f>
        <v>367.5</v>
      </c>
      <c r="L123" s="32"/>
      <c r="M123" s="10">
        <f t="shared" ref="M123:M139" si="34">K123-L123</f>
        <v>367.5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7">
        <v>1.07</v>
      </c>
      <c r="B124" s="18" t="s">
        <v>14</v>
      </c>
      <c r="C124" s="20"/>
      <c r="D124" s="20"/>
      <c r="E124" s="20"/>
      <c r="F124" s="20"/>
      <c r="G124" s="20">
        <f t="shared" si="30"/>
        <v>0</v>
      </c>
      <c r="H124" s="13" t="str">
        <f t="shared" si="31"/>
        <v>#DIV/0!</v>
      </c>
      <c r="I124" s="39"/>
      <c r="J124" s="10">
        <f t="shared" si="32"/>
        <v>85684</v>
      </c>
      <c r="K124" s="38">
        <f t="shared" si="33"/>
        <v>85684</v>
      </c>
      <c r="L124" s="22"/>
      <c r="M124" s="18">
        <f t="shared" si="34"/>
        <v>85684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7">
        <v>0.96</v>
      </c>
      <c r="B125" s="18" t="s">
        <v>15</v>
      </c>
      <c r="C125" s="20"/>
      <c r="D125" s="20"/>
      <c r="E125" s="20"/>
      <c r="F125" s="20"/>
      <c r="G125" s="20">
        <f t="shared" si="30"/>
        <v>0</v>
      </c>
      <c r="H125" s="13" t="str">
        <f t="shared" si="31"/>
        <v>#DIV/0!</v>
      </c>
      <c r="I125" s="39"/>
      <c r="J125" s="10">
        <f t="shared" si="32"/>
        <v>72253</v>
      </c>
      <c r="K125" s="38">
        <f t="shared" si="33"/>
        <v>72253</v>
      </c>
      <c r="L125" s="22"/>
      <c r="M125" s="18">
        <f t="shared" si="34"/>
        <v>72253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7">
        <v>0.865</v>
      </c>
      <c r="B126" s="18" t="s">
        <v>16</v>
      </c>
      <c r="C126" s="20"/>
      <c r="D126" s="20"/>
      <c r="E126" s="20"/>
      <c r="F126" s="20"/>
      <c r="G126" s="20">
        <f t="shared" si="30"/>
        <v>0</v>
      </c>
      <c r="H126" s="13" t="str">
        <f t="shared" si="31"/>
        <v>#DIV/0!</v>
      </c>
      <c r="I126" s="39"/>
      <c r="J126" s="10">
        <f t="shared" si="32"/>
        <v>720</v>
      </c>
      <c r="K126" s="38">
        <f t="shared" si="33"/>
        <v>720</v>
      </c>
      <c r="L126" s="22"/>
      <c r="M126" s="18">
        <f t="shared" si="34"/>
        <v>720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7">
        <v>0.885</v>
      </c>
      <c r="B127" s="18" t="s">
        <v>17</v>
      </c>
      <c r="C127" s="20"/>
      <c r="D127" s="20"/>
      <c r="E127" s="20"/>
      <c r="F127" s="20"/>
      <c r="G127" s="20">
        <f t="shared" si="30"/>
        <v>0</v>
      </c>
      <c r="H127" s="13" t="str">
        <f t="shared" si="31"/>
        <v>#DIV/0!</v>
      </c>
      <c r="I127" s="39"/>
      <c r="J127" s="10">
        <f t="shared" si="32"/>
        <v>81</v>
      </c>
      <c r="K127" s="38">
        <f t="shared" si="33"/>
        <v>81</v>
      </c>
      <c r="L127" s="22"/>
      <c r="M127" s="18">
        <f t="shared" si="34"/>
        <v>81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7"/>
      <c r="B128" s="18" t="s">
        <v>18</v>
      </c>
      <c r="C128" s="20"/>
      <c r="D128" s="20"/>
      <c r="E128" s="20"/>
      <c r="F128" s="20"/>
      <c r="G128" s="20">
        <f t="shared" si="30"/>
        <v>0</v>
      </c>
      <c r="H128" s="13" t="str">
        <f t="shared" si="31"/>
        <v>#DIV/0!</v>
      </c>
      <c r="I128" s="39"/>
      <c r="J128" s="10">
        <f t="shared" si="32"/>
        <v>668</v>
      </c>
      <c r="K128" s="38">
        <f t="shared" si="33"/>
        <v>668</v>
      </c>
      <c r="L128" s="22"/>
      <c r="M128" s="18">
        <f t="shared" si="34"/>
        <v>668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7">
        <v>0.85</v>
      </c>
      <c r="B129" s="18" t="s">
        <v>19</v>
      </c>
      <c r="C129" s="20"/>
      <c r="D129" s="20"/>
      <c r="E129" s="20"/>
      <c r="F129" s="20"/>
      <c r="G129" s="20">
        <f t="shared" si="30"/>
        <v>0</v>
      </c>
      <c r="H129" s="13" t="str">
        <f t="shared" si="31"/>
        <v>#DIV/0!</v>
      </c>
      <c r="I129" s="39"/>
      <c r="J129" s="10">
        <f t="shared" si="32"/>
        <v>360</v>
      </c>
      <c r="K129" s="38">
        <f t="shared" si="33"/>
        <v>360</v>
      </c>
      <c r="L129" s="22"/>
      <c r="M129" s="18">
        <f t="shared" si="34"/>
        <v>360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7">
        <v>0.93</v>
      </c>
      <c r="B130" s="18" t="s">
        <v>20</v>
      </c>
      <c r="C130" s="20"/>
      <c r="D130" s="20"/>
      <c r="E130" s="20"/>
      <c r="F130" s="20"/>
      <c r="G130" s="20">
        <f t="shared" si="30"/>
        <v>0</v>
      </c>
      <c r="H130" s="13" t="str">
        <f t="shared" si="31"/>
        <v>#DIV/0!</v>
      </c>
      <c r="I130" s="39"/>
      <c r="J130" s="10">
        <f t="shared" si="32"/>
        <v>-275</v>
      </c>
      <c r="K130" s="38">
        <f t="shared" si="33"/>
        <v>-275</v>
      </c>
      <c r="L130" s="22"/>
      <c r="M130" s="18">
        <f t="shared" si="34"/>
        <v>-275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7">
        <v>0.96</v>
      </c>
      <c r="B131" s="18" t="s">
        <v>21</v>
      </c>
      <c r="C131" s="20"/>
      <c r="D131" s="20"/>
      <c r="E131" s="20"/>
      <c r="F131" s="20"/>
      <c r="G131" s="20">
        <f t="shared" si="30"/>
        <v>0</v>
      </c>
      <c r="H131" s="13" t="str">
        <f t="shared" si="31"/>
        <v>#DIV/0!</v>
      </c>
      <c r="I131" s="39"/>
      <c r="J131" s="10">
        <f t="shared" si="32"/>
        <v>7</v>
      </c>
      <c r="K131" s="38">
        <f t="shared" si="33"/>
        <v>7</v>
      </c>
      <c r="L131" s="22"/>
      <c r="M131" s="18">
        <f t="shared" si="34"/>
        <v>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7">
        <v>0.815</v>
      </c>
      <c r="B132" s="18" t="s">
        <v>22</v>
      </c>
      <c r="C132" s="20"/>
      <c r="D132" s="20"/>
      <c r="E132" s="20"/>
      <c r="F132" s="20"/>
      <c r="G132" s="20">
        <f t="shared" si="30"/>
        <v>0</v>
      </c>
      <c r="H132" s="13" t="str">
        <f t="shared" si="31"/>
        <v>#DIV/0!</v>
      </c>
      <c r="I132" s="39"/>
      <c r="J132" s="10">
        <f t="shared" si="32"/>
        <v>649</v>
      </c>
      <c r="K132" s="38">
        <f t="shared" si="33"/>
        <v>649</v>
      </c>
      <c r="L132" s="22"/>
      <c r="M132" s="18">
        <f t="shared" si="34"/>
        <v>649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7"/>
      <c r="B133" s="18"/>
      <c r="C133" s="20"/>
      <c r="D133" s="20"/>
      <c r="E133" s="20"/>
      <c r="F133" s="20"/>
      <c r="G133" s="20">
        <f t="shared" si="30"/>
        <v>0</v>
      </c>
      <c r="H133" s="13" t="str">
        <f t="shared" si="31"/>
        <v>#DIV/0!</v>
      </c>
      <c r="I133" s="39"/>
      <c r="J133" s="10">
        <f t="shared" si="32"/>
        <v>0</v>
      </c>
      <c r="K133" s="38">
        <f t="shared" si="33"/>
        <v>0</v>
      </c>
      <c r="L133" s="22"/>
      <c r="M133" s="18">
        <f t="shared" si="34"/>
        <v>0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7"/>
      <c r="B134" s="18"/>
      <c r="C134" s="20"/>
      <c r="D134" s="20"/>
      <c r="E134" s="20"/>
      <c r="F134" s="20"/>
      <c r="G134" s="20">
        <f t="shared" si="30"/>
        <v>0</v>
      </c>
      <c r="H134" s="13" t="str">
        <f t="shared" si="31"/>
        <v>#DIV/0!</v>
      </c>
      <c r="I134" s="39"/>
      <c r="J134" s="10">
        <f t="shared" si="32"/>
        <v>0</v>
      </c>
      <c r="K134" s="38">
        <f t="shared" si="33"/>
        <v>0</v>
      </c>
      <c r="L134" s="22"/>
      <c r="M134" s="18">
        <f t="shared" si="34"/>
        <v>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7"/>
      <c r="B135" s="18"/>
      <c r="C135" s="20"/>
      <c r="D135" s="20"/>
      <c r="E135" s="20"/>
      <c r="F135" s="20"/>
      <c r="G135" s="20">
        <f t="shared" si="30"/>
        <v>0</v>
      </c>
      <c r="H135" s="13" t="str">
        <f t="shared" si="31"/>
        <v>#DIV/0!</v>
      </c>
      <c r="I135" s="39"/>
      <c r="J135" s="10">
        <f t="shared" si="32"/>
        <v>0</v>
      </c>
      <c r="K135" s="38">
        <f t="shared" si="33"/>
        <v>0</v>
      </c>
      <c r="L135" s="22"/>
      <c r="M135" s="18">
        <f t="shared" si="34"/>
        <v>0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7"/>
      <c r="B136" s="18"/>
      <c r="C136" s="20"/>
      <c r="D136" s="20"/>
      <c r="E136" s="20"/>
      <c r="F136" s="20"/>
      <c r="G136" s="20">
        <f t="shared" si="30"/>
        <v>0</v>
      </c>
      <c r="H136" s="13" t="str">
        <f t="shared" si="31"/>
        <v>#DIV/0!</v>
      </c>
      <c r="I136" s="39"/>
      <c r="J136" s="10">
        <f t="shared" si="32"/>
        <v>0</v>
      </c>
      <c r="K136" s="38">
        <f t="shared" si="33"/>
        <v>0</v>
      </c>
      <c r="L136" s="22"/>
      <c r="M136" s="18">
        <f t="shared" si="34"/>
        <v>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7"/>
      <c r="B137" s="25"/>
      <c r="C137" s="20"/>
      <c r="D137" s="20"/>
      <c r="E137" s="20"/>
      <c r="F137" s="20"/>
      <c r="G137" s="20">
        <f t="shared" si="30"/>
        <v>0</v>
      </c>
      <c r="H137" s="13" t="str">
        <f t="shared" si="31"/>
        <v>#DIV/0!</v>
      </c>
      <c r="I137" s="39"/>
      <c r="J137" s="10">
        <f t="shared" si="32"/>
        <v>0</v>
      </c>
      <c r="K137" s="38">
        <f t="shared" si="33"/>
        <v>0</v>
      </c>
      <c r="L137" s="22"/>
      <c r="M137" s="18">
        <f t="shared" si="34"/>
        <v>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7"/>
      <c r="B138" s="25" t="s">
        <v>23</v>
      </c>
      <c r="C138" s="20"/>
      <c r="D138" s="20"/>
      <c r="E138" s="20"/>
      <c r="F138" s="20"/>
      <c r="G138" s="20">
        <f t="shared" si="30"/>
        <v>0</v>
      </c>
      <c r="H138" s="13" t="str">
        <f t="shared" si="31"/>
        <v>#DIV/0!</v>
      </c>
      <c r="I138" s="39"/>
      <c r="J138" s="10">
        <f t="shared" si="32"/>
        <v>80600</v>
      </c>
      <c r="K138" s="38">
        <f t="shared" si="33"/>
        <v>80600</v>
      </c>
      <c r="L138" s="22"/>
      <c r="M138" s="18">
        <f t="shared" si="34"/>
        <v>80600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26" t="s">
        <v>24</v>
      </c>
      <c r="B139" s="27"/>
      <c r="C139" s="28"/>
      <c r="D139" s="28"/>
      <c r="E139" s="28"/>
      <c r="F139" s="28"/>
      <c r="G139" s="28">
        <f t="shared" si="30"/>
        <v>0</v>
      </c>
      <c r="H139" s="40" t="str">
        <f t="shared" si="31"/>
        <v>#DIV/0!</v>
      </c>
      <c r="I139" s="39"/>
      <c r="J139" s="10">
        <f t="shared" si="32"/>
        <v>0</v>
      </c>
      <c r="K139" s="38">
        <f t="shared" si="33"/>
        <v>0</v>
      </c>
      <c r="L139" s="29"/>
      <c r="M139" s="25">
        <f t="shared" si="34"/>
        <v>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25"/>
      <c r="B140" s="25"/>
      <c r="C140" s="25"/>
      <c r="D140" s="25" t="s">
        <v>25</v>
      </c>
      <c r="E140" s="28">
        <f>SUM(E123:E139)</f>
        <v>0</v>
      </c>
      <c r="F140" s="25"/>
      <c r="G140" s="25"/>
      <c r="H140" s="25"/>
      <c r="I140" s="25"/>
      <c r="J140" s="25"/>
      <c r="K140" s="30" t="s">
        <v>26</v>
      </c>
      <c r="L140" s="30">
        <f>SUM(L123:L139)</f>
        <v>0</v>
      </c>
      <c r="M140" s="2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3" t="s">
        <v>31</v>
      </c>
      <c r="L142" s="5">
        <f>L20+L40+L60+L80+L100+L120+L140</f>
        <v>0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3" t="s">
        <v>28</v>
      </c>
      <c r="L144" s="34">
        <f>E20+E40+E60+E80+E100+E120+E140</f>
        <v>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44" t="s">
        <v>32</v>
      </c>
      <c r="L146" s="5">
        <f>'1st Week'!L124+'2nd Week'!L143+'3rd Week'!L144+'4th Week'!L142</f>
        <v>1024480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45" t="s">
        <v>33</v>
      </c>
      <c r="L148" s="34">
        <f>'1st Week'!L126+'2nd Week'!L145+'3rd Week'!L146+'4th Week'!L144</f>
        <v>269.16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H3:H19">
    <cfRule type="cellIs" dxfId="0" priority="1" operator="between">
      <formula>0</formula>
      <formula>0.7399</formula>
    </cfRule>
  </conditionalFormatting>
  <conditionalFormatting sqref="H3:H19">
    <cfRule type="cellIs" dxfId="1" priority="2" operator="between">
      <formula>0.74</formula>
      <formula>0.7499</formula>
    </cfRule>
  </conditionalFormatting>
  <conditionalFormatting sqref="H3:H19">
    <cfRule type="cellIs" dxfId="2" priority="3" operator="between">
      <formula>75%</formula>
      <formula>100%</formula>
    </cfRule>
  </conditionalFormatting>
  <conditionalFormatting sqref="H23:H39">
    <cfRule type="cellIs" dxfId="0" priority="4" operator="between">
      <formula>0</formula>
      <formula>0.7399</formula>
    </cfRule>
  </conditionalFormatting>
  <conditionalFormatting sqref="H23:H39">
    <cfRule type="cellIs" dxfId="1" priority="5" operator="between">
      <formula>0.74</formula>
      <formula>0.7499</formula>
    </cfRule>
  </conditionalFormatting>
  <conditionalFormatting sqref="H23:H39">
    <cfRule type="cellIs" dxfId="2" priority="6" operator="between">
      <formula>75%</formula>
      <formula>100%</formula>
    </cfRule>
  </conditionalFormatting>
  <conditionalFormatting sqref="H43:H59">
    <cfRule type="cellIs" dxfId="0" priority="7" operator="between">
      <formula>0</formula>
      <formula>0.7399</formula>
    </cfRule>
  </conditionalFormatting>
  <conditionalFormatting sqref="H43:H59">
    <cfRule type="cellIs" dxfId="1" priority="8" operator="between">
      <formula>0.74</formula>
      <formula>0.7499</formula>
    </cfRule>
  </conditionalFormatting>
  <conditionalFormatting sqref="H43:H59">
    <cfRule type="cellIs" dxfId="2" priority="9" operator="between">
      <formula>75%</formula>
      <formula>100%</formula>
    </cfRule>
  </conditionalFormatting>
  <conditionalFormatting sqref="H63:H79">
    <cfRule type="cellIs" dxfId="0" priority="10" operator="between">
      <formula>0</formula>
      <formula>0.7399</formula>
    </cfRule>
  </conditionalFormatting>
  <conditionalFormatting sqref="H63:H79">
    <cfRule type="cellIs" dxfId="1" priority="11" operator="between">
      <formula>0.74</formula>
      <formula>0.7499</formula>
    </cfRule>
  </conditionalFormatting>
  <conditionalFormatting sqref="H63:H79">
    <cfRule type="cellIs" dxfId="2" priority="12" operator="between">
      <formula>75%</formula>
      <formula>100%</formula>
    </cfRule>
  </conditionalFormatting>
  <conditionalFormatting sqref="H83:H99">
    <cfRule type="cellIs" dxfId="0" priority="13" operator="between">
      <formula>0</formula>
      <formula>0.7399</formula>
    </cfRule>
  </conditionalFormatting>
  <conditionalFormatting sqref="H83:H99">
    <cfRule type="cellIs" dxfId="1" priority="14" operator="between">
      <formula>0.74</formula>
      <formula>0.7499</formula>
    </cfRule>
  </conditionalFormatting>
  <conditionalFormatting sqref="H83:H99">
    <cfRule type="cellIs" dxfId="2" priority="15" operator="between">
      <formula>75%</formula>
      <formula>100%</formula>
    </cfRule>
  </conditionalFormatting>
  <conditionalFormatting sqref="H103:H119">
    <cfRule type="cellIs" dxfId="0" priority="16" operator="between">
      <formula>0</formula>
      <formula>0.7399</formula>
    </cfRule>
  </conditionalFormatting>
  <conditionalFormatting sqref="H103:H119">
    <cfRule type="cellIs" dxfId="1" priority="17" operator="between">
      <formula>0.74</formula>
      <formula>0.7499</formula>
    </cfRule>
  </conditionalFormatting>
  <conditionalFormatting sqref="H103:H119">
    <cfRule type="cellIs" dxfId="2" priority="18" operator="between">
      <formula>75%</formula>
      <formula>100%</formula>
    </cfRule>
  </conditionalFormatting>
  <conditionalFormatting sqref="H123:H139">
    <cfRule type="cellIs" dxfId="0" priority="19" operator="between">
      <formula>0</formula>
      <formula>0.7399</formula>
    </cfRule>
  </conditionalFormatting>
  <conditionalFormatting sqref="H123:H139">
    <cfRule type="cellIs" dxfId="1" priority="20" operator="between">
      <formula>0.74</formula>
      <formula>0.7499</formula>
    </cfRule>
  </conditionalFormatting>
  <conditionalFormatting sqref="H123:H139">
    <cfRule type="cellIs" dxfId="2" priority="21" operator="between">
      <formula>75%</formula>
      <formula>100%</formula>
    </cfRule>
  </conditionalFormatting>
  <dataValidations>
    <dataValidation type="list" allowBlank="1" showErrorMessage="1" sqref="I3:I19 I23:I39 I43:I59 I63:I79 I83:I99 I103:I119 I123:I139">
      <formula1>"2400,2700,3000"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2023-03-04T14:40:18Z</dcterms:created>
  <dc:creator>Ying Rui Chen</dc:creator>
</cp:coreProperties>
</file>